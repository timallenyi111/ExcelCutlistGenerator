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Allen\source\repos\timallenyi111\ExcelCutlistGenerator\"/>
    </mc:Choice>
  </mc:AlternateContent>
  <xr:revisionPtr revIDLastSave="0" documentId="13_ncr:1_{53095404-4484-458C-95AB-77FCE83FF227}" xr6:coauthVersionLast="47" xr6:coauthVersionMax="47" xr10:uidLastSave="{00000000-0000-0000-0000-000000000000}"/>
  <bookViews>
    <workbookView xWindow="-110" yWindow="-110" windowWidth="38620" windowHeight="21100" activeTab="1" xr2:uid="{A04337D9-4362-4FDA-A529-445F1762424B}"/>
  </bookViews>
  <sheets>
    <sheet name="Parts" sheetId="1" r:id="rId1"/>
    <sheet name="Stock" sheetId="2" r:id="rId2"/>
    <sheet name="AISC Member Table" sheetId="4" r:id="rId3"/>
    <sheet name="Confi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C3" i="2"/>
  <c r="D3" i="2"/>
  <c r="E3" i="2"/>
  <c r="C4" i="2"/>
  <c r="D4" i="2"/>
  <c r="E4" i="2"/>
  <c r="C5" i="2"/>
  <c r="D5" i="2"/>
  <c r="E5" i="2"/>
  <c r="C6" i="2"/>
  <c r="B6" i="2" s="1"/>
  <c r="D6" i="2"/>
  <c r="E6" i="2"/>
  <c r="C7" i="2"/>
  <c r="B7" i="2" s="1"/>
  <c r="D7" i="2"/>
  <c r="E7" i="2"/>
  <c r="C8" i="2"/>
  <c r="B8" i="2" s="1"/>
  <c r="D8" i="2"/>
  <c r="E8" i="2"/>
  <c r="C9" i="2"/>
  <c r="B9" i="2" s="1"/>
  <c r="D9" i="2"/>
  <c r="E9" i="2"/>
  <c r="C10" i="2"/>
  <c r="D10" i="2"/>
  <c r="E10" i="2"/>
  <c r="C11" i="2"/>
  <c r="D11" i="2"/>
  <c r="E11" i="2"/>
  <c r="C12" i="2"/>
  <c r="D12" i="2"/>
  <c r="E12" i="2"/>
  <c r="C13" i="2"/>
  <c r="B13" i="2" s="1"/>
  <c r="D13" i="2"/>
  <c r="E13" i="2"/>
  <c r="C14" i="2"/>
  <c r="B14" i="2" s="1"/>
  <c r="D14" i="2"/>
  <c r="E14" i="2"/>
  <c r="C15" i="2"/>
  <c r="B15" i="2" s="1"/>
  <c r="D15" i="2"/>
  <c r="E15" i="2"/>
  <c r="C16" i="2"/>
  <c r="B16" i="2" s="1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B26" i="2" s="1"/>
  <c r="D26" i="2"/>
  <c r="E26" i="2"/>
  <c r="C27" i="2"/>
  <c r="B27" i="2" s="1"/>
  <c r="D27" i="2"/>
  <c r="E27" i="2"/>
  <c r="C28" i="2"/>
  <c r="B28" i="2" s="1"/>
  <c r="D28" i="2"/>
  <c r="E28" i="2"/>
  <c r="C29" i="2"/>
  <c r="B29" i="2" s="1"/>
  <c r="D29" i="2"/>
  <c r="E29" i="2"/>
  <c r="C30" i="2"/>
  <c r="D30" i="2"/>
  <c r="E30" i="2"/>
  <c r="C31" i="2"/>
  <c r="D31" i="2"/>
  <c r="E31" i="2"/>
  <c r="C32" i="2"/>
  <c r="D32" i="2"/>
  <c r="E32" i="2"/>
  <c r="C33" i="2"/>
  <c r="B33" i="2" s="1"/>
  <c r="D33" i="2"/>
  <c r="E33" i="2"/>
  <c r="C34" i="2"/>
  <c r="B34" i="2" s="1"/>
  <c r="D34" i="2"/>
  <c r="E34" i="2"/>
  <c r="C35" i="2"/>
  <c r="B35" i="2" s="1"/>
  <c r="D35" i="2"/>
  <c r="E35" i="2"/>
  <c r="C36" i="2"/>
  <c r="B36" i="2" s="1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B46" i="2" s="1"/>
  <c r="D46" i="2"/>
  <c r="E46" i="2"/>
  <c r="C47" i="2"/>
  <c r="B47" i="2" s="1"/>
  <c r="D47" i="2"/>
  <c r="E47" i="2"/>
  <c r="C48" i="2"/>
  <c r="B48" i="2" s="1"/>
  <c r="D48" i="2"/>
  <c r="E48" i="2"/>
  <c r="C49" i="2"/>
  <c r="B49" i="2" s="1"/>
  <c r="D49" i="2"/>
  <c r="E49" i="2"/>
  <c r="C50" i="2"/>
  <c r="D50" i="2"/>
  <c r="E50" i="2"/>
  <c r="C51" i="2"/>
  <c r="D51" i="2"/>
  <c r="E51" i="2"/>
  <c r="C52" i="2"/>
  <c r="D52" i="2"/>
  <c r="E52" i="2"/>
  <c r="C53" i="2"/>
  <c r="B53" i="2" s="1"/>
  <c r="D53" i="2"/>
  <c r="E53" i="2"/>
  <c r="C54" i="2"/>
  <c r="B54" i="2" s="1"/>
  <c r="D54" i="2"/>
  <c r="E54" i="2"/>
  <c r="C55" i="2"/>
  <c r="B55" i="2" s="1"/>
  <c r="D55" i="2"/>
  <c r="E55" i="2"/>
  <c r="C56" i="2"/>
  <c r="B56" i="2" s="1"/>
  <c r="D56" i="2"/>
  <c r="E56" i="2"/>
  <c r="C57" i="2"/>
  <c r="D57" i="2"/>
  <c r="E57" i="2"/>
  <c r="C58" i="2"/>
  <c r="D58" i="2"/>
  <c r="E58" i="2"/>
  <c r="C59" i="2"/>
  <c r="D59" i="2"/>
  <c r="E59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B66" i="2" s="1"/>
  <c r="D66" i="2"/>
  <c r="E66" i="2"/>
  <c r="C67" i="2"/>
  <c r="B67" i="2" s="1"/>
  <c r="D67" i="2"/>
  <c r="E67" i="2"/>
  <c r="C68" i="2"/>
  <c r="B68" i="2" s="1"/>
  <c r="D68" i="2"/>
  <c r="E68" i="2"/>
  <c r="C69" i="2"/>
  <c r="B69" i="2" s="1"/>
  <c r="D69" i="2"/>
  <c r="E69" i="2"/>
  <c r="C70" i="2"/>
  <c r="D70" i="2"/>
  <c r="E70" i="2"/>
  <c r="C71" i="2"/>
  <c r="D71" i="2"/>
  <c r="E71" i="2"/>
  <c r="C72" i="2"/>
  <c r="D72" i="2"/>
  <c r="E72" i="2"/>
  <c r="C73" i="2"/>
  <c r="B73" i="2" s="1"/>
  <c r="D73" i="2"/>
  <c r="E73" i="2"/>
  <c r="C74" i="2"/>
  <c r="B74" i="2" s="1"/>
  <c r="D74" i="2"/>
  <c r="E74" i="2"/>
  <c r="C75" i="2"/>
  <c r="B75" i="2" s="1"/>
  <c r="D75" i="2"/>
  <c r="E75" i="2"/>
  <c r="C76" i="2"/>
  <c r="B76" i="2" s="1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B86" i="2" s="1"/>
  <c r="D86" i="2"/>
  <c r="E86" i="2"/>
  <c r="C87" i="2"/>
  <c r="B87" i="2" s="1"/>
  <c r="D87" i="2"/>
  <c r="E87" i="2"/>
  <c r="C88" i="2"/>
  <c r="B88" i="2" s="1"/>
  <c r="D88" i="2"/>
  <c r="E88" i="2"/>
  <c r="C89" i="2"/>
  <c r="B89" i="2" s="1"/>
  <c r="D89" i="2"/>
  <c r="E89" i="2"/>
  <c r="C90" i="2"/>
  <c r="D90" i="2"/>
  <c r="E90" i="2"/>
  <c r="C91" i="2"/>
  <c r="D91" i="2"/>
  <c r="E91" i="2"/>
  <c r="C92" i="2"/>
  <c r="D92" i="2"/>
  <c r="E92" i="2"/>
  <c r="C93" i="2"/>
  <c r="B93" i="2" s="1"/>
  <c r="D93" i="2"/>
  <c r="E93" i="2"/>
  <c r="C94" i="2"/>
  <c r="B94" i="2" s="1"/>
  <c r="D94" i="2"/>
  <c r="E94" i="2"/>
  <c r="C95" i="2"/>
  <c r="B95" i="2" s="1"/>
  <c r="D95" i="2"/>
  <c r="E95" i="2"/>
  <c r="C96" i="2"/>
  <c r="B96" i="2" s="1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B105" i="2" s="1"/>
  <c r="D105" i="2"/>
  <c r="E105" i="2"/>
  <c r="C106" i="2"/>
  <c r="B106" i="2" s="1"/>
  <c r="D106" i="2"/>
  <c r="E106" i="2"/>
  <c r="C107" i="2"/>
  <c r="B107" i="2" s="1"/>
  <c r="D107" i="2"/>
  <c r="E107" i="2"/>
  <c r="C108" i="2"/>
  <c r="B108" i="2" s="1"/>
  <c r="D108" i="2"/>
  <c r="E108" i="2"/>
  <c r="C109" i="2"/>
  <c r="B109" i="2" s="1"/>
  <c r="D109" i="2"/>
  <c r="E109" i="2"/>
  <c r="C110" i="2"/>
  <c r="D110" i="2"/>
  <c r="E110" i="2"/>
  <c r="C111" i="2"/>
  <c r="B111" i="2" s="1"/>
  <c r="D111" i="2"/>
  <c r="E111" i="2"/>
  <c r="C112" i="2"/>
  <c r="D112" i="2"/>
  <c r="E112" i="2"/>
  <c r="C113" i="2"/>
  <c r="B113" i="2" s="1"/>
  <c r="D113" i="2"/>
  <c r="E113" i="2"/>
  <c r="C114" i="2"/>
  <c r="B114" i="2" s="1"/>
  <c r="D114" i="2"/>
  <c r="E114" i="2"/>
  <c r="C115" i="2"/>
  <c r="B115" i="2" s="1"/>
  <c r="D115" i="2"/>
  <c r="E115" i="2"/>
  <c r="C116" i="2"/>
  <c r="B116" i="2" s="1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B126" i="2" s="1"/>
  <c r="D126" i="2"/>
  <c r="E126" i="2"/>
  <c r="C127" i="2"/>
  <c r="B127" i="2" s="1"/>
  <c r="D127" i="2"/>
  <c r="E127" i="2"/>
  <c r="C128" i="2"/>
  <c r="B128" i="2" s="1"/>
  <c r="D128" i="2"/>
  <c r="E128" i="2"/>
  <c r="C129" i="2"/>
  <c r="B129" i="2" s="1"/>
  <c r="D129" i="2"/>
  <c r="E129" i="2"/>
  <c r="C130" i="2"/>
  <c r="D130" i="2"/>
  <c r="E130" i="2"/>
  <c r="C131" i="2"/>
  <c r="B131" i="2" s="1"/>
  <c r="D131" i="2"/>
  <c r="E131" i="2"/>
  <c r="C132" i="2"/>
  <c r="D132" i="2"/>
  <c r="E132" i="2"/>
  <c r="C133" i="2"/>
  <c r="B133" i="2" s="1"/>
  <c r="D133" i="2"/>
  <c r="E133" i="2"/>
  <c r="C134" i="2"/>
  <c r="B134" i="2" s="1"/>
  <c r="D134" i="2"/>
  <c r="E134" i="2"/>
  <c r="C135" i="2"/>
  <c r="B135" i="2" s="1"/>
  <c r="D135" i="2"/>
  <c r="E135" i="2"/>
  <c r="C136" i="2"/>
  <c r="B136" i="2" s="1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B146" i="2" s="1"/>
  <c r="D146" i="2"/>
  <c r="E146" i="2"/>
  <c r="C147" i="2"/>
  <c r="B147" i="2" s="1"/>
  <c r="D147" i="2"/>
  <c r="E147" i="2"/>
  <c r="C148" i="2"/>
  <c r="B148" i="2" s="1"/>
  <c r="D148" i="2"/>
  <c r="E148" i="2"/>
  <c r="C149" i="2"/>
  <c r="B149" i="2" s="1"/>
  <c r="D149" i="2"/>
  <c r="E149" i="2"/>
  <c r="C150" i="2"/>
  <c r="D150" i="2"/>
  <c r="E150" i="2"/>
  <c r="C151" i="2"/>
  <c r="B151" i="2" s="1"/>
  <c r="D151" i="2"/>
  <c r="E151" i="2"/>
  <c r="C152" i="2"/>
  <c r="D152" i="2"/>
  <c r="E152" i="2"/>
  <c r="C153" i="2"/>
  <c r="B153" i="2" s="1"/>
  <c r="D153" i="2"/>
  <c r="E153" i="2"/>
  <c r="C154" i="2"/>
  <c r="B154" i="2" s="1"/>
  <c r="D154" i="2"/>
  <c r="E154" i="2"/>
  <c r="C155" i="2"/>
  <c r="B155" i="2" s="1"/>
  <c r="D155" i="2"/>
  <c r="E155" i="2"/>
  <c r="C156" i="2"/>
  <c r="B156" i="2" s="1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B166" i="2" s="1"/>
  <c r="D166" i="2"/>
  <c r="E166" i="2"/>
  <c r="C167" i="2"/>
  <c r="B167" i="2" s="1"/>
  <c r="D167" i="2"/>
  <c r="E167" i="2"/>
  <c r="C168" i="2"/>
  <c r="B168" i="2" s="1"/>
  <c r="D168" i="2"/>
  <c r="E168" i="2"/>
  <c r="C169" i="2"/>
  <c r="B169" i="2" s="1"/>
  <c r="D169" i="2"/>
  <c r="E169" i="2"/>
  <c r="C170" i="2"/>
  <c r="D170" i="2"/>
  <c r="E170" i="2"/>
  <c r="C171" i="2"/>
  <c r="B171" i="2" s="1"/>
  <c r="D171" i="2"/>
  <c r="E171" i="2"/>
  <c r="C172" i="2"/>
  <c r="D172" i="2"/>
  <c r="E172" i="2"/>
  <c r="C173" i="2"/>
  <c r="B173" i="2" s="1"/>
  <c r="D173" i="2"/>
  <c r="E173" i="2"/>
  <c r="C174" i="2"/>
  <c r="B174" i="2" s="1"/>
  <c r="D174" i="2"/>
  <c r="E174" i="2"/>
  <c r="C175" i="2"/>
  <c r="B175" i="2" s="1"/>
  <c r="D175" i="2"/>
  <c r="E175" i="2"/>
  <c r="C176" i="2"/>
  <c r="B176" i="2" s="1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B186" i="2" s="1"/>
  <c r="D186" i="2"/>
  <c r="E186" i="2"/>
  <c r="C187" i="2"/>
  <c r="B187" i="2" s="1"/>
  <c r="D187" i="2"/>
  <c r="E187" i="2"/>
  <c r="C188" i="2"/>
  <c r="B188" i="2" s="1"/>
  <c r="D188" i="2"/>
  <c r="E188" i="2"/>
  <c r="C189" i="2"/>
  <c r="B189" i="2" s="1"/>
  <c r="D189" i="2"/>
  <c r="E189" i="2"/>
  <c r="C190" i="2"/>
  <c r="D190" i="2"/>
  <c r="E190" i="2"/>
  <c r="C191" i="2"/>
  <c r="B191" i="2" s="1"/>
  <c r="D191" i="2"/>
  <c r="E191" i="2"/>
  <c r="C192" i="2"/>
  <c r="D192" i="2"/>
  <c r="E192" i="2"/>
  <c r="C193" i="2"/>
  <c r="B193" i="2" s="1"/>
  <c r="D193" i="2"/>
  <c r="E193" i="2"/>
  <c r="C194" i="2"/>
  <c r="B194" i="2" s="1"/>
  <c r="D194" i="2"/>
  <c r="E194" i="2"/>
  <c r="C195" i="2"/>
  <c r="B195" i="2" s="1"/>
  <c r="D195" i="2"/>
  <c r="E195" i="2"/>
  <c r="C196" i="2"/>
  <c r="B196" i="2" s="1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B206" i="2" s="1"/>
  <c r="D206" i="2"/>
  <c r="E206" i="2"/>
  <c r="C207" i="2"/>
  <c r="B207" i="2" s="1"/>
  <c r="D207" i="2"/>
  <c r="E207" i="2"/>
  <c r="C208" i="2"/>
  <c r="B208" i="2" s="1"/>
  <c r="D208" i="2"/>
  <c r="E208" i="2"/>
  <c r="C209" i="2"/>
  <c r="B209" i="2" s="1"/>
  <c r="D209" i="2"/>
  <c r="E209" i="2"/>
  <c r="C210" i="2"/>
  <c r="D210" i="2"/>
  <c r="E210" i="2"/>
  <c r="C211" i="2"/>
  <c r="B211" i="2" s="1"/>
  <c r="D211" i="2"/>
  <c r="E211" i="2"/>
  <c r="C212" i="2"/>
  <c r="D212" i="2"/>
  <c r="E212" i="2"/>
  <c r="C213" i="2"/>
  <c r="B213" i="2" s="1"/>
  <c r="D213" i="2"/>
  <c r="E213" i="2"/>
  <c r="C214" i="2"/>
  <c r="B214" i="2" s="1"/>
  <c r="D214" i="2"/>
  <c r="E214" i="2"/>
  <c r="C215" i="2"/>
  <c r="B215" i="2" s="1"/>
  <c r="D215" i="2"/>
  <c r="E215" i="2"/>
  <c r="C216" i="2"/>
  <c r="B216" i="2" s="1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B226" i="2" s="1"/>
  <c r="D226" i="2"/>
  <c r="E226" i="2"/>
  <c r="C227" i="2"/>
  <c r="B227" i="2" s="1"/>
  <c r="D227" i="2"/>
  <c r="E227" i="2"/>
  <c r="C228" i="2"/>
  <c r="B228" i="2" s="1"/>
  <c r="D228" i="2"/>
  <c r="E228" i="2"/>
  <c r="C229" i="2"/>
  <c r="B229" i="2" s="1"/>
  <c r="D229" i="2"/>
  <c r="E229" i="2"/>
  <c r="C230" i="2"/>
  <c r="D230" i="2"/>
  <c r="E230" i="2"/>
  <c r="C231" i="2"/>
  <c r="B231" i="2" s="1"/>
  <c r="D231" i="2"/>
  <c r="E231" i="2"/>
  <c r="C232" i="2"/>
  <c r="D232" i="2"/>
  <c r="E232" i="2"/>
  <c r="C233" i="2"/>
  <c r="B233" i="2" s="1"/>
  <c r="D233" i="2"/>
  <c r="E233" i="2"/>
  <c r="C234" i="2"/>
  <c r="B234" i="2" s="1"/>
  <c r="D234" i="2"/>
  <c r="E234" i="2"/>
  <c r="C235" i="2"/>
  <c r="B235" i="2" s="1"/>
  <c r="D235" i="2"/>
  <c r="E235" i="2"/>
  <c r="C236" i="2"/>
  <c r="B236" i="2" s="1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B246" i="2" s="1"/>
  <c r="D246" i="2"/>
  <c r="E246" i="2"/>
  <c r="C247" i="2"/>
  <c r="B247" i="2" s="1"/>
  <c r="D247" i="2"/>
  <c r="E247" i="2"/>
  <c r="C248" i="2"/>
  <c r="B248" i="2" s="1"/>
  <c r="D248" i="2"/>
  <c r="E248" i="2"/>
  <c r="C249" i="2"/>
  <c r="B249" i="2" s="1"/>
  <c r="D249" i="2"/>
  <c r="E249" i="2"/>
  <c r="C250" i="2"/>
  <c r="D250" i="2"/>
  <c r="E250" i="2"/>
  <c r="C251" i="2"/>
  <c r="B251" i="2" s="1"/>
  <c r="D251" i="2"/>
  <c r="E251" i="2"/>
  <c r="C252" i="2"/>
  <c r="D252" i="2"/>
  <c r="E252" i="2"/>
  <c r="C253" i="2"/>
  <c r="B253" i="2" s="1"/>
  <c r="D253" i="2"/>
  <c r="E253" i="2"/>
  <c r="C254" i="2"/>
  <c r="B254" i="2" s="1"/>
  <c r="D254" i="2"/>
  <c r="E254" i="2"/>
  <c r="C255" i="2"/>
  <c r="B255" i="2" s="1"/>
  <c r="D255" i="2"/>
  <c r="E255" i="2"/>
  <c r="C256" i="2"/>
  <c r="B256" i="2" s="1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B266" i="2" s="1"/>
  <c r="D266" i="2"/>
  <c r="E266" i="2"/>
  <c r="C267" i="2"/>
  <c r="B267" i="2" s="1"/>
  <c r="D267" i="2"/>
  <c r="E267" i="2"/>
  <c r="C268" i="2"/>
  <c r="B268" i="2" s="1"/>
  <c r="D268" i="2"/>
  <c r="E268" i="2"/>
  <c r="C269" i="2"/>
  <c r="B269" i="2" s="1"/>
  <c r="D269" i="2"/>
  <c r="E269" i="2"/>
  <c r="B5" i="2"/>
  <c r="B10" i="2"/>
  <c r="B11" i="2"/>
  <c r="B12" i="2"/>
  <c r="B17" i="2"/>
  <c r="B18" i="2"/>
  <c r="B19" i="2"/>
  <c r="B20" i="2"/>
  <c r="B21" i="2"/>
  <c r="B22" i="2"/>
  <c r="B23" i="2"/>
  <c r="B24" i="2"/>
  <c r="B25" i="2"/>
  <c r="B30" i="2"/>
  <c r="B31" i="2"/>
  <c r="B32" i="2"/>
  <c r="B37" i="2"/>
  <c r="B38" i="2"/>
  <c r="B39" i="2"/>
  <c r="B40" i="2"/>
  <c r="B41" i="2"/>
  <c r="B42" i="2"/>
  <c r="B43" i="2"/>
  <c r="B44" i="2"/>
  <c r="B45" i="2"/>
  <c r="B50" i="2"/>
  <c r="B51" i="2"/>
  <c r="B52" i="2"/>
  <c r="B57" i="2"/>
  <c r="B58" i="2"/>
  <c r="B59" i="2"/>
  <c r="B60" i="2"/>
  <c r="B61" i="2"/>
  <c r="B62" i="2"/>
  <c r="B63" i="2"/>
  <c r="B64" i="2"/>
  <c r="B65" i="2"/>
  <c r="B70" i="2"/>
  <c r="B71" i="2"/>
  <c r="B72" i="2"/>
  <c r="B77" i="2"/>
  <c r="B78" i="2"/>
  <c r="B79" i="2"/>
  <c r="B80" i="2"/>
  <c r="B81" i="2"/>
  <c r="B82" i="2"/>
  <c r="B83" i="2"/>
  <c r="B84" i="2"/>
  <c r="B85" i="2"/>
  <c r="B90" i="2"/>
  <c r="B91" i="2"/>
  <c r="B92" i="2"/>
  <c r="B97" i="2"/>
  <c r="B98" i="2"/>
  <c r="B99" i="2"/>
  <c r="B100" i="2"/>
  <c r="B101" i="2"/>
  <c r="B102" i="2"/>
  <c r="B103" i="2"/>
  <c r="B104" i="2"/>
  <c r="B110" i="2"/>
  <c r="B112" i="2"/>
  <c r="B117" i="2"/>
  <c r="B118" i="2"/>
  <c r="B119" i="2"/>
  <c r="B120" i="2"/>
  <c r="B121" i="2"/>
  <c r="B122" i="2"/>
  <c r="B123" i="2"/>
  <c r="B124" i="2"/>
  <c r="B125" i="2"/>
  <c r="B130" i="2"/>
  <c r="B132" i="2"/>
  <c r="B137" i="2"/>
  <c r="B138" i="2"/>
  <c r="B139" i="2"/>
  <c r="B140" i="2"/>
  <c r="B141" i="2"/>
  <c r="B142" i="2"/>
  <c r="B143" i="2"/>
  <c r="B144" i="2"/>
  <c r="B145" i="2"/>
  <c r="B150" i="2"/>
  <c r="B152" i="2"/>
  <c r="B157" i="2"/>
  <c r="B158" i="2"/>
  <c r="B159" i="2"/>
  <c r="B160" i="2"/>
  <c r="B161" i="2"/>
  <c r="B162" i="2"/>
  <c r="B163" i="2"/>
  <c r="B164" i="2"/>
  <c r="B165" i="2"/>
  <c r="B170" i="2"/>
  <c r="B172" i="2"/>
  <c r="B177" i="2"/>
  <c r="B178" i="2"/>
  <c r="B179" i="2"/>
  <c r="B180" i="2"/>
  <c r="B181" i="2"/>
  <c r="B182" i="2"/>
  <c r="B183" i="2"/>
  <c r="B184" i="2"/>
  <c r="B185" i="2"/>
  <c r="B190" i="2"/>
  <c r="B192" i="2"/>
  <c r="B197" i="2"/>
  <c r="B198" i="2"/>
  <c r="B199" i="2"/>
  <c r="B200" i="2"/>
  <c r="B201" i="2"/>
  <c r="B202" i="2"/>
  <c r="B203" i="2"/>
  <c r="B204" i="2"/>
  <c r="B205" i="2"/>
  <c r="B210" i="2"/>
  <c r="B212" i="2"/>
  <c r="B217" i="2"/>
  <c r="B218" i="2"/>
  <c r="B219" i="2"/>
  <c r="B220" i="2"/>
  <c r="B221" i="2"/>
  <c r="B222" i="2"/>
  <c r="B223" i="2"/>
  <c r="B224" i="2"/>
  <c r="B225" i="2"/>
  <c r="B230" i="2"/>
  <c r="B232" i="2"/>
  <c r="B237" i="2"/>
  <c r="B238" i="2"/>
  <c r="B239" i="2"/>
  <c r="B240" i="2"/>
  <c r="B241" i="2"/>
  <c r="B242" i="2"/>
  <c r="B243" i="2"/>
  <c r="B244" i="2"/>
  <c r="B245" i="2"/>
  <c r="B250" i="2"/>
  <c r="B252" i="2"/>
  <c r="B257" i="2"/>
  <c r="B258" i="2"/>
  <c r="B259" i="2"/>
  <c r="B260" i="2"/>
  <c r="B261" i="2"/>
  <c r="B262" i="2"/>
  <c r="B263" i="2"/>
  <c r="B264" i="2"/>
  <c r="B265" i="2"/>
  <c r="B3" i="2"/>
  <c r="B2" i="2"/>
  <c r="E2" i="2"/>
  <c r="C2" i="2"/>
  <c r="D2" i="2"/>
  <c r="A2" i="2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<sst xmlns="http://schemas.openxmlformats.org/spreadsheetml/2006/main" count="1851" uniqueCount="927">
  <si>
    <t>Part Number</t>
  </si>
  <si>
    <t>Material</t>
  </si>
  <si>
    <t>Qty</t>
  </si>
  <si>
    <t>Length (Fractional)</t>
  </si>
  <si>
    <t>Available Stock Length (ft)</t>
  </si>
  <si>
    <t>C:\Users\TimAllen\OneDrive - A &amp; R Erectors, Inc\A&amp;R Working Directory\___Template Master File\Excel Templates\ExcelCutlistGenerator\bin\Release\net10.0\ExcelCutlistGenerator.exe</t>
  </si>
  <si>
    <t>EXE Path</t>
  </si>
  <si>
    <t>Left Web</t>
  </si>
  <si>
    <t>Right Web</t>
  </si>
  <si>
    <t>Left Flange</t>
  </si>
  <si>
    <t>Right Flange</t>
  </si>
  <si>
    <t>0.00</t>
  </si>
  <si>
    <t>-45.00</t>
  </si>
  <si>
    <t>45.00</t>
  </si>
  <si>
    <t>-18.68</t>
  </si>
  <si>
    <t>26.32</t>
  </si>
  <si>
    <t>-26.32</t>
  </si>
  <si>
    <t>18.68</t>
  </si>
  <si>
    <t>Platform 1a1</t>
  </si>
  <si>
    <t>82</t>
  </si>
  <si>
    <t>1</t>
  </si>
  <si>
    <t>HSS2X2X1/8</t>
  </si>
  <si>
    <t>P1-a4</t>
  </si>
  <si>
    <t>80</t>
  </si>
  <si>
    <t>P1-a5</t>
  </si>
  <si>
    <t>53 3/8</t>
  </si>
  <si>
    <t>P1-a6</t>
  </si>
  <si>
    <t>47 3/16</t>
  </si>
  <si>
    <t>P1-a7</t>
  </si>
  <si>
    <t>33 1/4</t>
  </si>
  <si>
    <t>P1-a8</t>
  </si>
  <si>
    <t>30 7/16</t>
  </si>
  <si>
    <t>P1-a9</t>
  </si>
  <si>
    <t>28 7/16</t>
  </si>
  <si>
    <t>P1-a2</t>
  </si>
  <si>
    <t>24 7/16</t>
  </si>
  <si>
    <t>2</t>
  </si>
  <si>
    <t>P1-a10</t>
  </si>
  <si>
    <t>12 13/16</t>
  </si>
  <si>
    <t>P1-a11</t>
  </si>
  <si>
    <t>11 7/16</t>
  </si>
  <si>
    <t>Ca1</t>
  </si>
  <si>
    <t>5</t>
  </si>
  <si>
    <t>8</t>
  </si>
  <si>
    <t>Type</t>
  </si>
  <si>
    <t>Height</t>
  </si>
  <si>
    <t>Width</t>
  </si>
  <si>
    <t>W</t>
  </si>
  <si>
    <t>W44X335</t>
  </si>
  <si>
    <t>W44X290</t>
  </si>
  <si>
    <t>W44X262</t>
  </si>
  <si>
    <t>W44X230</t>
  </si>
  <si>
    <t>W40X655</t>
  </si>
  <si>
    <t>W40X593</t>
  </si>
  <si>
    <t>W40X503</t>
  </si>
  <si>
    <t>W40X431</t>
  </si>
  <si>
    <t>W40X397</t>
  </si>
  <si>
    <t>W40X372</t>
  </si>
  <si>
    <t>W40X362</t>
  </si>
  <si>
    <t>W40X324</t>
  </si>
  <si>
    <t>W40X297</t>
  </si>
  <si>
    <t>W40X277</t>
  </si>
  <si>
    <t>W40X249</t>
  </si>
  <si>
    <t>W40X215</t>
  </si>
  <si>
    <t>W40X199</t>
  </si>
  <si>
    <t>W40X392</t>
  </si>
  <si>
    <t>W40X331</t>
  </si>
  <si>
    <t>W40X327</t>
  </si>
  <si>
    <t>W40X294</t>
  </si>
  <si>
    <t>W40X278</t>
  </si>
  <si>
    <t>W40X264</t>
  </si>
  <si>
    <t>W40X235</t>
  </si>
  <si>
    <t>W40X211</t>
  </si>
  <si>
    <t>W40X183</t>
  </si>
  <si>
    <t>W40X167</t>
  </si>
  <si>
    <t>W40X149</t>
  </si>
  <si>
    <t>W36X925</t>
  </si>
  <si>
    <t>W36X853</t>
  </si>
  <si>
    <t>W36X802</t>
  </si>
  <si>
    <t>W36X723</t>
  </si>
  <si>
    <t>W36X652</t>
  </si>
  <si>
    <t>W36X529</t>
  </si>
  <si>
    <t>W36X487</t>
  </si>
  <si>
    <t>W36X441</t>
  </si>
  <si>
    <t>W36X395</t>
  </si>
  <si>
    <t>W36X361</t>
  </si>
  <si>
    <t>W36X330</t>
  </si>
  <si>
    <t>W36X302</t>
  </si>
  <si>
    <t>W36X282</t>
  </si>
  <si>
    <t>W36X262</t>
  </si>
  <si>
    <t>W36X247</t>
  </si>
  <si>
    <t>W36X231</t>
  </si>
  <si>
    <t>W36X256</t>
  </si>
  <si>
    <t>W36X232</t>
  </si>
  <si>
    <t>W36X210</t>
  </si>
  <si>
    <t>W36X194</t>
  </si>
  <si>
    <t>W36X182</t>
  </si>
  <si>
    <t>W36X170</t>
  </si>
  <si>
    <t>W36X160</t>
  </si>
  <si>
    <t>W36X150</t>
  </si>
  <si>
    <t>W36X135</t>
  </si>
  <si>
    <t>W33X387</t>
  </si>
  <si>
    <t>W33X354</t>
  </si>
  <si>
    <t>W33X318</t>
  </si>
  <si>
    <t>W33X291</t>
  </si>
  <si>
    <t>W33X263</t>
  </si>
  <si>
    <t>W33X241</t>
  </si>
  <si>
    <t>W33X221</t>
  </si>
  <si>
    <t>W33X201</t>
  </si>
  <si>
    <t>W33X169</t>
  </si>
  <si>
    <t>W33X152</t>
  </si>
  <si>
    <t>W33X141</t>
  </si>
  <si>
    <t>W33X130</t>
  </si>
  <si>
    <t>W33X118</t>
  </si>
  <si>
    <t>W30X391</t>
  </si>
  <si>
    <t>W30X357</t>
  </si>
  <si>
    <t>W30X326</t>
  </si>
  <si>
    <t>W30X292</t>
  </si>
  <si>
    <t>W30X261</t>
  </si>
  <si>
    <t>W30X235</t>
  </si>
  <si>
    <t>W30X211</t>
  </si>
  <si>
    <t>W30X191</t>
  </si>
  <si>
    <t>W30X173</t>
  </si>
  <si>
    <t>W30X148</t>
  </si>
  <si>
    <t>W30X132</t>
  </si>
  <si>
    <t>W30X124</t>
  </si>
  <si>
    <t>W30X116</t>
  </si>
  <si>
    <t>W30X108</t>
  </si>
  <si>
    <t>W30X99</t>
  </si>
  <si>
    <t>W30X90</t>
  </si>
  <si>
    <t>W27X539</t>
  </si>
  <si>
    <t>W27X368</t>
  </si>
  <si>
    <t>W27X336</t>
  </si>
  <si>
    <t>W27X307</t>
  </si>
  <si>
    <t>W27X281</t>
  </si>
  <si>
    <t>W27X258</t>
  </si>
  <si>
    <t>W27X235</t>
  </si>
  <si>
    <t>W27X217</t>
  </si>
  <si>
    <t>W27X194</t>
  </si>
  <si>
    <t>W27X178</t>
  </si>
  <si>
    <t>W27X161</t>
  </si>
  <si>
    <t>W27X146</t>
  </si>
  <si>
    <t>W27X129</t>
  </si>
  <si>
    <t>W27X114</t>
  </si>
  <si>
    <t>W27X102</t>
  </si>
  <si>
    <t>W27X94</t>
  </si>
  <si>
    <t>W27X84</t>
  </si>
  <si>
    <t>W24X370</t>
  </si>
  <si>
    <t>W24X335</t>
  </si>
  <si>
    <t>W24X306</t>
  </si>
  <si>
    <t>W24X279</t>
  </si>
  <si>
    <t>W24X250</t>
  </si>
  <si>
    <t>W24X229</t>
  </si>
  <si>
    <t>W24X207</t>
  </si>
  <si>
    <t>W24X192</t>
  </si>
  <si>
    <t>W24X176</t>
  </si>
  <si>
    <t>W24X162</t>
  </si>
  <si>
    <t>W24X146</t>
  </si>
  <si>
    <t>W24X131</t>
  </si>
  <si>
    <t>W24X117</t>
  </si>
  <si>
    <t>W24X104</t>
  </si>
  <si>
    <t>W24X103</t>
  </si>
  <si>
    <t>W24X94</t>
  </si>
  <si>
    <t>W24X84</t>
  </si>
  <si>
    <t>W24X76</t>
  </si>
  <si>
    <t>W24X68</t>
  </si>
  <si>
    <t>W24X62</t>
  </si>
  <si>
    <t>W24X55</t>
  </si>
  <si>
    <t>W21X275</t>
  </si>
  <si>
    <t>W21X248</t>
  </si>
  <si>
    <t>W21X223</t>
  </si>
  <si>
    <t>W21X201</t>
  </si>
  <si>
    <t>W21X182</t>
  </si>
  <si>
    <t>W21X166</t>
  </si>
  <si>
    <t>W21X147</t>
  </si>
  <si>
    <t>W21X132</t>
  </si>
  <si>
    <t>W21X122</t>
  </si>
  <si>
    <t>W21X111</t>
  </si>
  <si>
    <t>W21X101</t>
  </si>
  <si>
    <t>W21X93</t>
  </si>
  <si>
    <t>W21X83</t>
  </si>
  <si>
    <t>W21X73</t>
  </si>
  <si>
    <t>W21X68</t>
  </si>
  <si>
    <t>W21X62</t>
  </si>
  <si>
    <t>W21X55</t>
  </si>
  <si>
    <t>W21X48</t>
  </si>
  <si>
    <t>W21X57</t>
  </si>
  <si>
    <t>W21X50</t>
  </si>
  <si>
    <t>W21X44</t>
  </si>
  <si>
    <t>W18X311</t>
  </si>
  <si>
    <t>W18X283</t>
  </si>
  <si>
    <t>W18X258</t>
  </si>
  <si>
    <t>W18X234</t>
  </si>
  <si>
    <t>W18X211</t>
  </si>
  <si>
    <t>W18X192</t>
  </si>
  <si>
    <t>W18X175</t>
  </si>
  <si>
    <t>W18X158</t>
  </si>
  <si>
    <t>W18X143</t>
  </si>
  <si>
    <t>W18X130</t>
  </si>
  <si>
    <t>W18X119</t>
  </si>
  <si>
    <t>W18X106</t>
  </si>
  <si>
    <t>W18X97</t>
  </si>
  <si>
    <t>W18X86</t>
  </si>
  <si>
    <t>W18X76</t>
  </si>
  <si>
    <t>W18X71</t>
  </si>
  <si>
    <t>W18X65</t>
  </si>
  <si>
    <t>W18X60</t>
  </si>
  <si>
    <t>W18X55</t>
  </si>
  <si>
    <t>W18X50</t>
  </si>
  <si>
    <t>W18X46</t>
  </si>
  <si>
    <t>W18X40</t>
  </si>
  <si>
    <t>W18X35</t>
  </si>
  <si>
    <t>W16X100</t>
  </si>
  <si>
    <t>W16X89</t>
  </si>
  <si>
    <t>W16X77</t>
  </si>
  <si>
    <t>W16X67</t>
  </si>
  <si>
    <t>W16X57</t>
  </si>
  <si>
    <t>W16X50</t>
  </si>
  <si>
    <t>W16X45</t>
  </si>
  <si>
    <t>W16X40</t>
  </si>
  <si>
    <t>W16X36</t>
  </si>
  <si>
    <t>W16X31</t>
  </si>
  <si>
    <t>W16X26</t>
  </si>
  <si>
    <t>W14X873</t>
  </si>
  <si>
    <t>W14X808</t>
  </si>
  <si>
    <t>W14X730</t>
  </si>
  <si>
    <t>W14X665</t>
  </si>
  <si>
    <t>W14X605</t>
  </si>
  <si>
    <t>W14X550</t>
  </si>
  <si>
    <t>W14X500</t>
  </si>
  <si>
    <t>W14X455</t>
  </si>
  <si>
    <t>W14X426</t>
  </si>
  <si>
    <t>W14X398</t>
  </si>
  <si>
    <t>W14X370</t>
  </si>
  <si>
    <t>W14X342</t>
  </si>
  <si>
    <t>W14X311</t>
  </si>
  <si>
    <t>W14X283</t>
  </si>
  <si>
    <t>W14X257</t>
  </si>
  <si>
    <t>W14X233</t>
  </si>
  <si>
    <t>W14X211</t>
  </si>
  <si>
    <t>W14X193</t>
  </si>
  <si>
    <t>W14X176</t>
  </si>
  <si>
    <t>W14X159</t>
  </si>
  <si>
    <t>W14X145</t>
  </si>
  <si>
    <t>W14X132</t>
  </si>
  <si>
    <t>W14X120</t>
  </si>
  <si>
    <t>W14X109</t>
  </si>
  <si>
    <t>W14X99</t>
  </si>
  <si>
    <t>W14X90</t>
  </si>
  <si>
    <t>W14X82</t>
  </si>
  <si>
    <t>W14X74</t>
  </si>
  <si>
    <t>W14X68</t>
  </si>
  <si>
    <t>W14X61</t>
  </si>
  <si>
    <t>W14X53</t>
  </si>
  <si>
    <t>W14X48</t>
  </si>
  <si>
    <t>W14X43</t>
  </si>
  <si>
    <t>W14X38</t>
  </si>
  <si>
    <t>W14X34</t>
  </si>
  <si>
    <t>W14X30</t>
  </si>
  <si>
    <t>W14X26</t>
  </si>
  <si>
    <t>W14X22</t>
  </si>
  <si>
    <t>W12X336</t>
  </si>
  <si>
    <t>W12X305</t>
  </si>
  <si>
    <t>W12X279</t>
  </si>
  <si>
    <t>W12X252</t>
  </si>
  <si>
    <t>W12X230</t>
  </si>
  <si>
    <t>W12X210</t>
  </si>
  <si>
    <t>W12X190</t>
  </si>
  <si>
    <t>W12X170</t>
  </si>
  <si>
    <t>W12X152</t>
  </si>
  <si>
    <t>W12X136</t>
  </si>
  <si>
    <t>W12X120</t>
  </si>
  <si>
    <t>W12X106</t>
  </si>
  <si>
    <t>W12X96</t>
  </si>
  <si>
    <t>W12X87</t>
  </si>
  <si>
    <t>W12X79</t>
  </si>
  <si>
    <t>W12X72</t>
  </si>
  <si>
    <t>W12X65</t>
  </si>
  <si>
    <t>W12X58</t>
  </si>
  <si>
    <t>W12X53</t>
  </si>
  <si>
    <t>W12X50</t>
  </si>
  <si>
    <t>W12X45</t>
  </si>
  <si>
    <t>W12X40</t>
  </si>
  <si>
    <t>W12X35</t>
  </si>
  <si>
    <t>W12X30</t>
  </si>
  <si>
    <t>W12X26</t>
  </si>
  <si>
    <t>W12X22</t>
  </si>
  <si>
    <t>W12X19</t>
  </si>
  <si>
    <t>W12X16</t>
  </si>
  <si>
    <t>W12X14</t>
  </si>
  <si>
    <t>W10X112</t>
  </si>
  <si>
    <t>W10X100</t>
  </si>
  <si>
    <t>W10X88</t>
  </si>
  <si>
    <t>W10X77</t>
  </si>
  <si>
    <t>W10X68</t>
  </si>
  <si>
    <t>W10X60</t>
  </si>
  <si>
    <t>W10X54</t>
  </si>
  <si>
    <t>W10X49</t>
  </si>
  <si>
    <t>W10X45</t>
  </si>
  <si>
    <t>W10X39</t>
  </si>
  <si>
    <t>W10X33</t>
  </si>
  <si>
    <t>W10X30</t>
  </si>
  <si>
    <t>W10X26</t>
  </si>
  <si>
    <t>W10X22</t>
  </si>
  <si>
    <t>W10X19</t>
  </si>
  <si>
    <t>W10X17</t>
  </si>
  <si>
    <t>W10X15</t>
  </si>
  <si>
    <t>W10X12</t>
  </si>
  <si>
    <t>W8X67</t>
  </si>
  <si>
    <t>W8X58</t>
  </si>
  <si>
    <t>W8X48</t>
  </si>
  <si>
    <t>W8X40</t>
  </si>
  <si>
    <t>W8X35</t>
  </si>
  <si>
    <t>W8X31</t>
  </si>
  <si>
    <t>W8X28</t>
  </si>
  <si>
    <t>W8X24</t>
  </si>
  <si>
    <t>W8X21</t>
  </si>
  <si>
    <t>W8X18</t>
  </si>
  <si>
    <t>W8X15</t>
  </si>
  <si>
    <t>W8X13</t>
  </si>
  <si>
    <t>W8X10</t>
  </si>
  <si>
    <t>W6X25</t>
  </si>
  <si>
    <t>W6X20</t>
  </si>
  <si>
    <t>W6X15</t>
  </si>
  <si>
    <t>W6X16</t>
  </si>
  <si>
    <t>W6X12</t>
  </si>
  <si>
    <t>W6X9</t>
  </si>
  <si>
    <t>W6X8.5</t>
  </si>
  <si>
    <t>W5X19</t>
  </si>
  <si>
    <t>W5X16</t>
  </si>
  <si>
    <t>W4X13</t>
  </si>
  <si>
    <t>TYPE</t>
  </si>
  <si>
    <t>NAME</t>
  </si>
  <si>
    <t>HEIGHT</t>
  </si>
  <si>
    <t>WIDTH</t>
  </si>
  <si>
    <t>HSS</t>
  </si>
  <si>
    <t>HSS24X12X3/4</t>
  </si>
  <si>
    <t>HSS24X12X5/8</t>
  </si>
  <si>
    <t>HSS24X12X1/2</t>
  </si>
  <si>
    <t>HSS22X22X7/8</t>
  </si>
  <si>
    <t>HSS22X22X3/4</t>
  </si>
  <si>
    <t>HSS20X20X7/8</t>
  </si>
  <si>
    <t>HSS20X20X3/4</t>
  </si>
  <si>
    <t>HSS20X20X5/8</t>
  </si>
  <si>
    <t>HSS20X20X1/2</t>
  </si>
  <si>
    <t>HSS20X12X3/4</t>
  </si>
  <si>
    <t>HSS20X12X5/8</t>
  </si>
  <si>
    <t>HSS20X12X1/2</t>
  </si>
  <si>
    <t>HSS20X12X3/8</t>
  </si>
  <si>
    <t>HSS20X12X5/16</t>
  </si>
  <si>
    <t>HSS20X8X5/8</t>
  </si>
  <si>
    <t>HSS20X8X1/2</t>
  </si>
  <si>
    <t>HSS20X8X3/8</t>
  </si>
  <si>
    <t>HSS20X8X5/16</t>
  </si>
  <si>
    <t>HSS20X4X1/2</t>
  </si>
  <si>
    <t>HSS20X4X3/8</t>
  </si>
  <si>
    <t>HSS20X4X5/16</t>
  </si>
  <si>
    <t>HSS20X4X1/4</t>
  </si>
  <si>
    <t>HSS18X18X7/8</t>
  </si>
  <si>
    <t>HSS18X18X3/4</t>
  </si>
  <si>
    <t>HSS18X18X5/8</t>
  </si>
  <si>
    <t>HSS18X18X1/2</t>
  </si>
  <si>
    <t>HSS18X6X5/8</t>
  </si>
  <si>
    <t>HSS18X6X1/2</t>
  </si>
  <si>
    <t>HSS18X6X3/8</t>
  </si>
  <si>
    <t>HSS18X6X5/16</t>
  </si>
  <si>
    <t>HSS18X6X1/4</t>
  </si>
  <si>
    <t>HSS16X16X7/8</t>
  </si>
  <si>
    <t>HSS16X16X3/4</t>
  </si>
  <si>
    <t>HSS16X16X5/8</t>
  </si>
  <si>
    <t>HSS16X16X1/2</t>
  </si>
  <si>
    <t>HSS16X16X3/8</t>
  </si>
  <si>
    <t>HSS16X16X5/16</t>
  </si>
  <si>
    <t>HSS16X12X3/4</t>
  </si>
  <si>
    <t>HSS16X12X5/8</t>
  </si>
  <si>
    <t>HSS16X12X1/2</t>
  </si>
  <si>
    <t>HSS16X12X3/8</t>
  </si>
  <si>
    <t>HSS16X12X5/16</t>
  </si>
  <si>
    <t>HSS16X8X5/8</t>
  </si>
  <si>
    <t>HSS16X8X1/2</t>
  </si>
  <si>
    <t>HSS16X8X3/8</t>
  </si>
  <si>
    <t>HSS16X8X5/16</t>
  </si>
  <si>
    <t>HSS16X8X1/4</t>
  </si>
  <si>
    <t>HSS16X4X5/8</t>
  </si>
  <si>
    <t>HSS16X4X1/2</t>
  </si>
  <si>
    <t>HSS16X4X3/8</t>
  </si>
  <si>
    <t>HSS16X4X5/16</t>
  </si>
  <si>
    <t>HSS16X4X1/4</t>
  </si>
  <si>
    <t>HSS16X4X3/16</t>
  </si>
  <si>
    <t>HSS14X14X7/8</t>
  </si>
  <si>
    <t>HSS14X14X3/4</t>
  </si>
  <si>
    <t>HSS14X14X5/8</t>
  </si>
  <si>
    <t>HSS14X14X1/2</t>
  </si>
  <si>
    <t>HSS14X14X3/8</t>
  </si>
  <si>
    <t>HSS14X14X5/16</t>
  </si>
  <si>
    <t>HSS14X10X5/8</t>
  </si>
  <si>
    <t>HSS14X10X1/2</t>
  </si>
  <si>
    <t>HSS14X10X3/8</t>
  </si>
  <si>
    <t>HSS14X10X5/16</t>
  </si>
  <si>
    <t>HSS14X10X1/4</t>
  </si>
  <si>
    <t>HSS14X6X5/8</t>
  </si>
  <si>
    <t>HSS14X6X1/2</t>
  </si>
  <si>
    <t>HSS14X6X3/8</t>
  </si>
  <si>
    <t>HSS14X6X5/16</t>
  </si>
  <si>
    <t>HSS14X6X1/4</t>
  </si>
  <si>
    <t>HSS14X6X3/16</t>
  </si>
  <si>
    <t>HSS14X4X5/8</t>
  </si>
  <si>
    <t>HSS14X4X1/2</t>
  </si>
  <si>
    <t>HSS14X4X3/8</t>
  </si>
  <si>
    <t>HSS14X4X5/16</t>
  </si>
  <si>
    <t>HSS14X4X1/4</t>
  </si>
  <si>
    <t>HSS14X4X3/16</t>
  </si>
  <si>
    <t>HSS12X12X3/4</t>
  </si>
  <si>
    <t>HSS12X12X5/8</t>
  </si>
  <si>
    <t>HSS12X12X1/2</t>
  </si>
  <si>
    <t>HSS12X12X3/8</t>
  </si>
  <si>
    <t>HSS12X12X5/16</t>
  </si>
  <si>
    <t>HSS12X12X1/4</t>
  </si>
  <si>
    <t>HSS12X12X3/16</t>
  </si>
  <si>
    <t>HSS12X10X1/2</t>
  </si>
  <si>
    <t>HSS12X10X3/8</t>
  </si>
  <si>
    <t>HSS12X10X5/16</t>
  </si>
  <si>
    <t>HSS12X10X1/4</t>
  </si>
  <si>
    <t>HSS12X8X5/8</t>
  </si>
  <si>
    <t>HSS12X8X1/2</t>
  </si>
  <si>
    <t>HSS12X8X3/8</t>
  </si>
  <si>
    <t>HSS12X8X5/16</t>
  </si>
  <si>
    <t>HSS12X8X1/4</t>
  </si>
  <si>
    <t>HSS12X8X3/16</t>
  </si>
  <si>
    <t>HSS12X6X5/8</t>
  </si>
  <si>
    <t>HSS12X6X1/2</t>
  </si>
  <si>
    <t>HSS12X6X3/8</t>
  </si>
  <si>
    <t>HSS12X6X5/16</t>
  </si>
  <si>
    <t>HSS12X6X1/4</t>
  </si>
  <si>
    <t>HSS12X6X3/16</t>
  </si>
  <si>
    <t>HSS12X4X5/8</t>
  </si>
  <si>
    <t>HSS12X4X1/2</t>
  </si>
  <si>
    <t>HSS12X4X3/8</t>
  </si>
  <si>
    <t>HSS12X4X5/16</t>
  </si>
  <si>
    <t>HSS12X4X1/4</t>
  </si>
  <si>
    <t>HSS12X4X3/16</t>
  </si>
  <si>
    <t>HSS12X3-1/2X3/8</t>
  </si>
  <si>
    <t>HSS12X3-1/2X5/16</t>
  </si>
  <si>
    <t>HSS12X3X5/16</t>
  </si>
  <si>
    <t>HSS12X3X1/4</t>
  </si>
  <si>
    <t>HSS12X3X3/16</t>
  </si>
  <si>
    <t>HSS12X2X5/16</t>
  </si>
  <si>
    <t>HSS12X2X1/4</t>
  </si>
  <si>
    <t>HSS12X2X3/16</t>
  </si>
  <si>
    <t>HSS10X10X3/4</t>
  </si>
  <si>
    <t>HSS10X10X5/8</t>
  </si>
  <si>
    <t>HSS10X10X1/2</t>
  </si>
  <si>
    <t>HSS10X10X3/8</t>
  </si>
  <si>
    <t>HSS10X10X5/16</t>
  </si>
  <si>
    <t>HSS10X10X1/4</t>
  </si>
  <si>
    <t>HSS10X10X3/16</t>
  </si>
  <si>
    <t>HSS10X8X5/8</t>
  </si>
  <si>
    <t>HSS10X8X1/2</t>
  </si>
  <si>
    <t>HSS10X8X3/8</t>
  </si>
  <si>
    <t>HSS10X8X5/16</t>
  </si>
  <si>
    <t>HSS10X8X1/4</t>
  </si>
  <si>
    <t>HSS10X8X3/16</t>
  </si>
  <si>
    <t>HSS10X6X5/8</t>
  </si>
  <si>
    <t>HSS10X6X1/2</t>
  </si>
  <si>
    <t>HSS10X6X3/8</t>
  </si>
  <si>
    <t>HSS10X6X5/16</t>
  </si>
  <si>
    <t>HSS10X6X1/4</t>
  </si>
  <si>
    <t>HSS10X6X3/16</t>
  </si>
  <si>
    <t>HSS10X5X3/8</t>
  </si>
  <si>
    <t>HSS10X5X5/16</t>
  </si>
  <si>
    <t>HSS10X5X1/4</t>
  </si>
  <si>
    <t>HSS10X5X3/16</t>
  </si>
  <si>
    <t>HSS10X4X5/8</t>
  </si>
  <si>
    <t>HSS10X4X1/2</t>
  </si>
  <si>
    <t>HSS10X4X3/8</t>
  </si>
  <si>
    <t>HSS10X4X5/16</t>
  </si>
  <si>
    <t>HSS10X4X1/4</t>
  </si>
  <si>
    <t>HSS10X4X3/16</t>
  </si>
  <si>
    <t>HSS10X4X1/8</t>
  </si>
  <si>
    <t>HSS10X3-1/2X1/2</t>
  </si>
  <si>
    <t>HSS10X3-1/2X3/8</t>
  </si>
  <si>
    <t>HSS10X3-1/2X5/16</t>
  </si>
  <si>
    <t>HSS10X3-1/2X1/4</t>
  </si>
  <si>
    <t>HSS10X3-1/2X3/16</t>
  </si>
  <si>
    <t>HSS10X3-1/2X1/8</t>
  </si>
  <si>
    <t>HSS10X3X3/8</t>
  </si>
  <si>
    <t>HSS10X3X5/16</t>
  </si>
  <si>
    <t>HSS10X3X1/4</t>
  </si>
  <si>
    <t>HSS10X3X3/16</t>
  </si>
  <si>
    <t>HSS10X3X1/8</t>
  </si>
  <si>
    <t>HSS10X2X3/8</t>
  </si>
  <si>
    <t>HSS10X2X5/16</t>
  </si>
  <si>
    <t>HSS10X2X1/4</t>
  </si>
  <si>
    <t>HSS10X2X3/16</t>
  </si>
  <si>
    <t>HSS10X2X1/8</t>
  </si>
  <si>
    <t>HSS9X9X5/8</t>
  </si>
  <si>
    <t>HSS9X9X1/2</t>
  </si>
  <si>
    <t>HSS9X9X3/8</t>
  </si>
  <si>
    <t>HSS9X9X5/16</t>
  </si>
  <si>
    <t>HSS9X9X1/4</t>
  </si>
  <si>
    <t>HSS9X9X3/16</t>
  </si>
  <si>
    <t>HSS9X9X1/8</t>
  </si>
  <si>
    <t>HSS9X7X5/8</t>
  </si>
  <si>
    <t>HSS9X7X1/2</t>
  </si>
  <si>
    <t>HSS9X7X3/8</t>
  </si>
  <si>
    <t>HSS9X7X5/16</t>
  </si>
  <si>
    <t>HSS9X7X1/4</t>
  </si>
  <si>
    <t>HSS9X7X3/16</t>
  </si>
  <si>
    <t>HSS9X5X5/8</t>
  </si>
  <si>
    <t>HSS9X5X1/2</t>
  </si>
  <si>
    <t>HSS9X5X3/8</t>
  </si>
  <si>
    <t>HSS9X5X5/16</t>
  </si>
  <si>
    <t>HSS9X5X1/4</t>
  </si>
  <si>
    <t>HSS9X5X3/16</t>
  </si>
  <si>
    <t>HSS9X3X1/2</t>
  </si>
  <si>
    <t>HSS9X3X3/8</t>
  </si>
  <si>
    <t>HSS9X3X5/16</t>
  </si>
  <si>
    <t>HSS9X3X1/4</t>
  </si>
  <si>
    <t>HSS9X3X3/16</t>
  </si>
  <si>
    <t>HSS8X8X5/8</t>
  </si>
  <si>
    <t>HSS8X8X1/2</t>
  </si>
  <si>
    <t>HSS8X8X3/8</t>
  </si>
  <si>
    <t>HSS8X8X5/16</t>
  </si>
  <si>
    <t>HSS8X8X1/4</t>
  </si>
  <si>
    <t>HSS8X8X3/16</t>
  </si>
  <si>
    <t>HSS8X8X1/8</t>
  </si>
  <si>
    <t>HSS8X6X5/8</t>
  </si>
  <si>
    <t>HSS8X6X1/2</t>
  </si>
  <si>
    <t>HSS8X6X3/8</t>
  </si>
  <si>
    <t>HSS8X6X5/16</t>
  </si>
  <si>
    <t>HSS8X6X1/4</t>
  </si>
  <si>
    <t>HSS8X6X3/16</t>
  </si>
  <si>
    <t>HSS8X4X5/8</t>
  </si>
  <si>
    <t>HSS8X4X1/2</t>
  </si>
  <si>
    <t>HSS8X4X3/8</t>
  </si>
  <si>
    <t>HSS8X4X5/16</t>
  </si>
  <si>
    <t>HSS8X4X1/4</t>
  </si>
  <si>
    <t>HSS8X4X3/16</t>
  </si>
  <si>
    <t>HSS8X4X1/8</t>
  </si>
  <si>
    <t>HSS8X3X1/2</t>
  </si>
  <si>
    <t>HSS8X3X3/8</t>
  </si>
  <si>
    <t>HSS8X3X5/16</t>
  </si>
  <si>
    <t>HSS8X3X1/4</t>
  </si>
  <si>
    <t>HSS8X3X3/16</t>
  </si>
  <si>
    <t>HSS8X3X1/8</t>
  </si>
  <si>
    <t>HSS8X2X3/8</t>
  </si>
  <si>
    <t>HSS8X2X5/16</t>
  </si>
  <si>
    <t>HSS8X2X1/4</t>
  </si>
  <si>
    <t>HSS8X2X3/16</t>
  </si>
  <si>
    <t>HSS8X2X1/8</t>
  </si>
  <si>
    <t>HSS7X7X5/8</t>
  </si>
  <si>
    <t>HSS7X7X1/2</t>
  </si>
  <si>
    <t>HSS7X7X3/8</t>
  </si>
  <si>
    <t>HSS7X7X5/16</t>
  </si>
  <si>
    <t>HSS7X7X1/4</t>
  </si>
  <si>
    <t>HSS7X7X3/16</t>
  </si>
  <si>
    <t>HSS7X7X1/8</t>
  </si>
  <si>
    <t>HSS7X5X1/2</t>
  </si>
  <si>
    <t>HSS7X5X3/8</t>
  </si>
  <si>
    <t>HSS7X5X5/16</t>
  </si>
  <si>
    <t>HSS7X5X1/4</t>
  </si>
  <si>
    <t>HSS7X5X3/16</t>
  </si>
  <si>
    <t>HSS7X5X1/8</t>
  </si>
  <si>
    <t>HSS7X4X1/2</t>
  </si>
  <si>
    <t>HSS7X4X3/8</t>
  </si>
  <si>
    <t>HSS7X4X5/16</t>
  </si>
  <si>
    <t>HSS7X4X1/4</t>
  </si>
  <si>
    <t>HSS7X4X3/16</t>
  </si>
  <si>
    <t>HSS7X4X1/8</t>
  </si>
  <si>
    <t>HSS7X3X1/2</t>
  </si>
  <si>
    <t>HSS7X3X3/8</t>
  </si>
  <si>
    <t>HSS7X3X5/16</t>
  </si>
  <si>
    <t>HSS7X3X1/4</t>
  </si>
  <si>
    <t>HSS7X3X3/16</t>
  </si>
  <si>
    <t>HSS7X3X1/8</t>
  </si>
  <si>
    <t>HSS7X2X1/4</t>
  </si>
  <si>
    <t>HSS7X2X3/16</t>
  </si>
  <si>
    <t>HSS7X2X1/8</t>
  </si>
  <si>
    <t>HSS6X6X5/8</t>
  </si>
  <si>
    <t>HSS6X6X1/2</t>
  </si>
  <si>
    <t>HSS6X6X3/8</t>
  </si>
  <si>
    <t>HSS6X6X5/16</t>
  </si>
  <si>
    <t>HSS6X6X1/4</t>
  </si>
  <si>
    <t>HSS6X6X3/16</t>
  </si>
  <si>
    <t>HSS6X6X1/8</t>
  </si>
  <si>
    <t>HSS6X5X1/2</t>
  </si>
  <si>
    <t>HSS6X5X3/8</t>
  </si>
  <si>
    <t>HSS6X5X5/16</t>
  </si>
  <si>
    <t>HSS6X5X1/4</t>
  </si>
  <si>
    <t>HSS6X5X3/16</t>
  </si>
  <si>
    <t>HSS6X5X1/8</t>
  </si>
  <si>
    <t>HSS6X4X1/2</t>
  </si>
  <si>
    <t>HSS6X4X3/8</t>
  </si>
  <si>
    <t>HSS6X4X5/16</t>
  </si>
  <si>
    <t>HSS6X4X1/4</t>
  </si>
  <si>
    <t>HSS6X4X3/16</t>
  </si>
  <si>
    <t>HSS6X4X1/8</t>
  </si>
  <si>
    <t>HSS6X3X1/2</t>
  </si>
  <si>
    <t>HSS6X3X3/8</t>
  </si>
  <si>
    <t>HSS6X3X5/16</t>
  </si>
  <si>
    <t>HSS6X3X1/4</t>
  </si>
  <si>
    <t>HSS6X3X3/16</t>
  </si>
  <si>
    <t>HSS6X3X1/8</t>
  </si>
  <si>
    <t>HSS6X2X3/8</t>
  </si>
  <si>
    <t>HSS6X2X5/16</t>
  </si>
  <si>
    <t>HSS6X2X1/4</t>
  </si>
  <si>
    <t>HSS6X2X3/16</t>
  </si>
  <si>
    <t>HSS6X2X1/8</t>
  </si>
  <si>
    <t>HSS5-1/2X5-1/2X3/8</t>
  </si>
  <si>
    <t>HSS5-1/2X5-1/2X5/16</t>
  </si>
  <si>
    <t>HSS5-1/2X5-1/2X1/4</t>
  </si>
  <si>
    <t>HSS5-1/2X5-1/2X3/16</t>
  </si>
  <si>
    <t>HSS5-1/2X5-1/2X1/8</t>
  </si>
  <si>
    <t>HSS5X5X1/2</t>
  </si>
  <si>
    <t>HSS5X5X3/8</t>
  </si>
  <si>
    <t>HSS5X5X5/16</t>
  </si>
  <si>
    <t>HSS5X5X1/4</t>
  </si>
  <si>
    <t>HSS5X5X3/16</t>
  </si>
  <si>
    <t>HSS5X5X1/8</t>
  </si>
  <si>
    <t>HSS5X4X1/2</t>
  </si>
  <si>
    <t>HSS5X4X3/8</t>
  </si>
  <si>
    <t>HSS5X4X5/16</t>
  </si>
  <si>
    <t>HSS5X4X1/4</t>
  </si>
  <si>
    <t>HSS5X4X3/16</t>
  </si>
  <si>
    <t>HSS5X4X1/8</t>
  </si>
  <si>
    <t>HSS5X3X1/2</t>
  </si>
  <si>
    <t>HSS5X3X3/8</t>
  </si>
  <si>
    <t>HSS5X3X5/16</t>
  </si>
  <si>
    <t>HSS5X3X1/4</t>
  </si>
  <si>
    <t>HSS5X3X3/16</t>
  </si>
  <si>
    <t>HSS5X3X1/8</t>
  </si>
  <si>
    <t>HSS5X2-1/2X1/4</t>
  </si>
  <si>
    <t>HSS5X2-1/2X3/16</t>
  </si>
  <si>
    <t>HSS5X2-1/2X1/8</t>
  </si>
  <si>
    <t>HSS5X2X3/8</t>
  </si>
  <si>
    <t>HSS5X2X5/16</t>
  </si>
  <si>
    <t>HSS5X2X1/4</t>
  </si>
  <si>
    <t>HSS5X2X3/16</t>
  </si>
  <si>
    <t>HSS5X2X1/8</t>
  </si>
  <si>
    <t>HSS4-1/2X4-1/2X1/2</t>
  </si>
  <si>
    <t>HSS4-1/2X4-1/2X3/8</t>
  </si>
  <si>
    <t>HSS4-1/2X4-1/2X5/16</t>
  </si>
  <si>
    <t>HSS4-1/2X4-1/2X1/4</t>
  </si>
  <si>
    <t>HSS4-1/2X4-1/2X3/16</t>
  </si>
  <si>
    <t>HSS4-1/2X4-1/2X1/8</t>
  </si>
  <si>
    <t>HSS4X4X1/2</t>
  </si>
  <si>
    <t>HSS4X4X3/8</t>
  </si>
  <si>
    <t>HSS4X4X5/16</t>
  </si>
  <si>
    <t>HSS4X4X1/4</t>
  </si>
  <si>
    <t>HSS4X4X3/16</t>
  </si>
  <si>
    <t>HSS4X4X1/8</t>
  </si>
  <si>
    <t>HSS4X3X3/8</t>
  </si>
  <si>
    <t>HSS4X3X5/16</t>
  </si>
  <si>
    <t>HSS4X3X1/4</t>
  </si>
  <si>
    <t>HSS4X3X3/16</t>
  </si>
  <si>
    <t>HSS4X3X1/8</t>
  </si>
  <si>
    <t>HSS4X2-1/2X3/8</t>
  </si>
  <si>
    <t>HSS4X2-1/2X5/16</t>
  </si>
  <si>
    <t>HSS4X2-1/2X1/4</t>
  </si>
  <si>
    <t>HSS4X2-1/2X3/16</t>
  </si>
  <si>
    <t>HSS4X2-1/2X1/8</t>
  </si>
  <si>
    <t>HSS4X2X3/8</t>
  </si>
  <si>
    <t>HSS4X2X5/16</t>
  </si>
  <si>
    <t>HSS4X2X1/4</t>
  </si>
  <si>
    <t>HSS4X2X3/16</t>
  </si>
  <si>
    <t>HSS4X2X1/8</t>
  </si>
  <si>
    <t>HSS3-1/2X3-1/2X3/8</t>
  </si>
  <si>
    <t>HSS3-1/2X3-1/2X5/16</t>
  </si>
  <si>
    <t>HSS3-1/2X3-1/2X1/4</t>
  </si>
  <si>
    <t>HSS3-1/2X3-1/2X3/16</t>
  </si>
  <si>
    <t>HSS3-1/2X3-1/2X1/8</t>
  </si>
  <si>
    <t>HSS3-1/2X2-1/2X3/8</t>
  </si>
  <si>
    <t>HSS3-1/2X2-1/2X5/16</t>
  </si>
  <si>
    <t>HSS3-1/2X2-1/2X1/4</t>
  </si>
  <si>
    <t>HSS3-1/2X2-1/2X3/16</t>
  </si>
  <si>
    <t>HSS3-1/2X2-1/2X1/8</t>
  </si>
  <si>
    <t>HSS3-1/2X2X1/4</t>
  </si>
  <si>
    <t>HSS3-1/2X2X3/16</t>
  </si>
  <si>
    <t>HSS3-1/2X2X1/8</t>
  </si>
  <si>
    <t>HSS3-1/2X1-1/2X1/4</t>
  </si>
  <si>
    <t>HSS3-1/2X1-1/2X3/16</t>
  </si>
  <si>
    <t>HSS3-1/2X1-1/2X1/8</t>
  </si>
  <si>
    <t>HSS3X3X3/8</t>
  </si>
  <si>
    <t>HSS3X3X5/16</t>
  </si>
  <si>
    <t>HSS3X3X1/4</t>
  </si>
  <si>
    <t>HSS3X3X3/16</t>
  </si>
  <si>
    <t>HSS3X3X1/8</t>
  </si>
  <si>
    <t>HSS3X2-1/2X5/16</t>
  </si>
  <si>
    <t>HSS3X2-1/2X1/4</t>
  </si>
  <si>
    <t>HSS3X2-1/2X3/16</t>
  </si>
  <si>
    <t>HSS3X2-1/2X1/8</t>
  </si>
  <si>
    <t>HSS3X2X5/16</t>
  </si>
  <si>
    <t>HSS3X2X1/4</t>
  </si>
  <si>
    <t>HSS3X2X3/16</t>
  </si>
  <si>
    <t>HSS3X2X1/8</t>
  </si>
  <si>
    <t>HSS3X1-1/2X1/4</t>
  </si>
  <si>
    <t>HSS3X1-1/2X3/16</t>
  </si>
  <si>
    <t>HSS3X1-1/2X1/8</t>
  </si>
  <si>
    <t>HSS3X1X3/16</t>
  </si>
  <si>
    <t>HSS3X1X1/8</t>
  </si>
  <si>
    <t>HSS2-1/2X2-1/2X5/16</t>
  </si>
  <si>
    <t>HSS2-1/2X2-1/2X1/4</t>
  </si>
  <si>
    <t>HSS2-1/2X2-1/2X3/16</t>
  </si>
  <si>
    <t>HSS2-1/2X2-1/2X1/8</t>
  </si>
  <si>
    <t>HSS2-1/2X2X1/4</t>
  </si>
  <si>
    <t>HSS2-1/2X2X3/16</t>
  </si>
  <si>
    <t>HSS2-1/2X2X1/8</t>
  </si>
  <si>
    <t>HSS2-1/2X1-1/2X1/4</t>
  </si>
  <si>
    <t>HSS2-1/2X1-1/2X3/16</t>
  </si>
  <si>
    <t>HSS2-1/2X1-1/2X1/8</t>
  </si>
  <si>
    <t>HSS2-1/2X1X3/16</t>
  </si>
  <si>
    <t>HSS2-1/2X1X1/8</t>
  </si>
  <si>
    <t>HSS2-1/4X2-1/4X1/4</t>
  </si>
  <si>
    <t>HSS2-1/4X2-1/4X3/16</t>
  </si>
  <si>
    <t>HSS2-1/4X2-1/4X1/8</t>
  </si>
  <si>
    <t>HSS2-1/4X2X3/16</t>
  </si>
  <si>
    <t>HSS2-1/4X2X1/8</t>
  </si>
  <si>
    <t>HSS2X2X1/4</t>
  </si>
  <si>
    <t>HSS2X2X3/16</t>
  </si>
  <si>
    <t>HSS2X1-1/2X3/16</t>
  </si>
  <si>
    <t>HSS2X1-1/2X1/8</t>
  </si>
  <si>
    <t>HSS2X1X3/16</t>
  </si>
  <si>
    <t>HSS2X1X1/8</t>
  </si>
  <si>
    <t>C</t>
  </si>
  <si>
    <t>C15X50</t>
  </si>
  <si>
    <t>C15X40</t>
  </si>
  <si>
    <t>C15X33.9</t>
  </si>
  <si>
    <t>C12X30</t>
  </si>
  <si>
    <t>C12X25</t>
  </si>
  <si>
    <t>C12X20.7</t>
  </si>
  <si>
    <t>C10X30</t>
  </si>
  <si>
    <t>C10X25</t>
  </si>
  <si>
    <t>C10X20</t>
  </si>
  <si>
    <t>C10X15.3</t>
  </si>
  <si>
    <t>C9X20</t>
  </si>
  <si>
    <t>C9X15</t>
  </si>
  <si>
    <t>C9X13.4</t>
  </si>
  <si>
    <t>C8X18.75</t>
  </si>
  <si>
    <t>C8X13.75</t>
  </si>
  <si>
    <t>C8X11.5</t>
  </si>
  <si>
    <t>C7X14.75</t>
  </si>
  <si>
    <t>C7X12.25</t>
  </si>
  <si>
    <t>C7X9.8</t>
  </si>
  <si>
    <t>C6X13</t>
  </si>
  <si>
    <t>C6X10.5</t>
  </si>
  <si>
    <t>C6X8.2</t>
  </si>
  <si>
    <t>C5X9</t>
  </si>
  <si>
    <t>C5X6.7</t>
  </si>
  <si>
    <t>C4X7.25</t>
  </si>
  <si>
    <t>C4X6.25</t>
  </si>
  <si>
    <t>C4X5.4</t>
  </si>
  <si>
    <t>C4X4.5</t>
  </si>
  <si>
    <t>C3X6</t>
  </si>
  <si>
    <t>C3X5</t>
  </si>
  <si>
    <t>C3X4.1</t>
  </si>
  <si>
    <t>C3X3.5</t>
  </si>
  <si>
    <t>L</t>
  </si>
  <si>
    <t>L12X12X1-3/8</t>
  </si>
  <si>
    <t>L12X12X1-1/4</t>
  </si>
  <si>
    <t>L12X12X1-1/8</t>
  </si>
  <si>
    <t>L12X12X1</t>
  </si>
  <si>
    <t>L10X10X1-3/8</t>
  </si>
  <si>
    <t>L10X10X1-1/4</t>
  </si>
  <si>
    <t>L10X10X1-1/8</t>
  </si>
  <si>
    <t>L10X10X1</t>
  </si>
  <si>
    <t>L10X10X7/8</t>
  </si>
  <si>
    <t>L10X10X3/4</t>
  </si>
  <si>
    <t>L8X8X1-1/8</t>
  </si>
  <si>
    <t>L8X8X1</t>
  </si>
  <si>
    <t>L8X8X7/8</t>
  </si>
  <si>
    <t>L8X8X3/4</t>
  </si>
  <si>
    <t>L8X8X5/8</t>
  </si>
  <si>
    <t>L8X8X9/16</t>
  </si>
  <si>
    <t>L8X8X1/2</t>
  </si>
  <si>
    <t>L8X6X1</t>
  </si>
  <si>
    <t>L8X6X7/8</t>
  </si>
  <si>
    <t>L8X6X3/4</t>
  </si>
  <si>
    <t>L8X6X5/8</t>
  </si>
  <si>
    <t>L8X6X9/16</t>
  </si>
  <si>
    <t>L8X6X1/2</t>
  </si>
  <si>
    <t>L8X6X7/16</t>
  </si>
  <si>
    <t>L8X4X1</t>
  </si>
  <si>
    <t>L8X4X7/8</t>
  </si>
  <si>
    <t>L8X4X3/4</t>
  </si>
  <si>
    <t>L8X4X5/8</t>
  </si>
  <si>
    <t>L8X4X9/16</t>
  </si>
  <si>
    <t>L8X4X1/2</t>
  </si>
  <si>
    <t>L8X4X7/16</t>
  </si>
  <si>
    <t>L7X4X3/4</t>
  </si>
  <si>
    <t>L7X4X5/8</t>
  </si>
  <si>
    <t>L7X4X1/2</t>
  </si>
  <si>
    <t>L7X4X7/16</t>
  </si>
  <si>
    <t>L7X4X3/8</t>
  </si>
  <si>
    <t>L6X6X1</t>
  </si>
  <si>
    <t>L6X6X7/8</t>
  </si>
  <si>
    <t>L6X6X3/4</t>
  </si>
  <si>
    <t>L6X6X5/8</t>
  </si>
  <si>
    <t>L6X6X9/16</t>
  </si>
  <si>
    <t>L6X6X1/2</t>
  </si>
  <si>
    <t>L6X6X7/16</t>
  </si>
  <si>
    <t>L6X6X3/8</t>
  </si>
  <si>
    <t>L6X6X5/16</t>
  </si>
  <si>
    <t>L6X4X7/8</t>
  </si>
  <si>
    <t>L6X4X3/4</t>
  </si>
  <si>
    <t>L6X4X5/8</t>
  </si>
  <si>
    <t>L6X4X9/16</t>
  </si>
  <si>
    <t>L6X4X1/2</t>
  </si>
  <si>
    <t>L6X4X7/16</t>
  </si>
  <si>
    <t>L6X4X3/8</t>
  </si>
  <si>
    <t>L6X4X5/16</t>
  </si>
  <si>
    <t>L6X3-1/2X1/2</t>
  </si>
  <si>
    <t>L6X3-1/2X3/8</t>
  </si>
  <si>
    <t>L6X3-1/2X5/16</t>
  </si>
  <si>
    <t>L5X5X7/8</t>
  </si>
  <si>
    <t>L5X5X3/4</t>
  </si>
  <si>
    <t>L5X5X5/8</t>
  </si>
  <si>
    <t>L5X5X1/2</t>
  </si>
  <si>
    <t>L5X5X7/16</t>
  </si>
  <si>
    <t>L5X5X3/8</t>
  </si>
  <si>
    <t>L5X5X5/16</t>
  </si>
  <si>
    <t>L5X3-1/2X3/4</t>
  </si>
  <si>
    <t>L5X3-1/2X5/8</t>
  </si>
  <si>
    <t>L5X3-1/2X1/2</t>
  </si>
  <si>
    <t>L5X3-1/2X3/8</t>
  </si>
  <si>
    <t>L5X3-1/2X5/16</t>
  </si>
  <si>
    <t>L5X3-1/2X1/4</t>
  </si>
  <si>
    <t>L5X3X1/2</t>
  </si>
  <si>
    <t>L5X3X7/16</t>
  </si>
  <si>
    <t>L5X3X3/8</t>
  </si>
  <si>
    <t>L5X3X5/16</t>
  </si>
  <si>
    <t>L5X3X1/4</t>
  </si>
  <si>
    <t>L4X4X3/4</t>
  </si>
  <si>
    <t>L4X4X5/8</t>
  </si>
  <si>
    <t>L4X4X1/2</t>
  </si>
  <si>
    <t>L4X4X7/16</t>
  </si>
  <si>
    <t>L4X4X3/8</t>
  </si>
  <si>
    <t>L4X4X5/16</t>
  </si>
  <si>
    <t>L4X4X1/4</t>
  </si>
  <si>
    <t>L4X3-1/2X1/2</t>
  </si>
  <si>
    <t>L4X3-1/2X3/8</t>
  </si>
  <si>
    <t>L4X3-1/2X5/16</t>
  </si>
  <si>
    <t>L4X3-1/2X1/4</t>
  </si>
  <si>
    <t>L4X3X5/8</t>
  </si>
  <si>
    <t>L4X3X1/2</t>
  </si>
  <si>
    <t>L4X3X3/8</t>
  </si>
  <si>
    <t>L4X3X5/16</t>
  </si>
  <si>
    <t>L4X3X1/4</t>
  </si>
  <si>
    <t>L3-1/2X3-1/2X1/2</t>
  </si>
  <si>
    <t>L3-1/2X3-1/2X7/16</t>
  </si>
  <si>
    <t>L3-1/2X3-1/2X3/8</t>
  </si>
  <si>
    <t>L3-1/2X3-1/2X5/16</t>
  </si>
  <si>
    <t>L3-1/2X3-1/2X1/4</t>
  </si>
  <si>
    <t>L3-1/2X3X1/2</t>
  </si>
  <si>
    <t>L3-1/2X3X7/16</t>
  </si>
  <si>
    <t>L3-1/2X3X3/8</t>
  </si>
  <si>
    <t>L3-1/2X3X5/16</t>
  </si>
  <si>
    <t>L3-1/2X3X1/4</t>
  </si>
  <si>
    <t>L3-1/2X2-1/2X1/2</t>
  </si>
  <si>
    <t>L3-1/2X2-1/2X3/8</t>
  </si>
  <si>
    <t>L3-1/2X2-1/2X5/16</t>
  </si>
  <si>
    <t>L3-1/2X2-1/2X1/4</t>
  </si>
  <si>
    <t>L3X3X1/2</t>
  </si>
  <si>
    <t>L3X3X7/16</t>
  </si>
  <si>
    <t>L3X3X3/8</t>
  </si>
  <si>
    <t>L3X3X5/16</t>
  </si>
  <si>
    <t>L3X3X1/4</t>
  </si>
  <si>
    <t>L3X3X3/16</t>
  </si>
  <si>
    <t>L3X2-1/2X1/2</t>
  </si>
  <si>
    <t>L3X2-1/2X7/16</t>
  </si>
  <si>
    <t>L3X2-1/2X3/8</t>
  </si>
  <si>
    <t>L3X2-1/2X5/16</t>
  </si>
  <si>
    <t>L3X2-1/2X1/4</t>
  </si>
  <si>
    <t>L3X2-1/2X3/16</t>
  </si>
  <si>
    <t>L3X2X1/2</t>
  </si>
  <si>
    <t>L3X2X3/8</t>
  </si>
  <si>
    <t>L3X2X5/16</t>
  </si>
  <si>
    <t>L3X2X1/4</t>
  </si>
  <si>
    <t>L3X2X3/16</t>
  </si>
  <si>
    <t>L2-1/2X2-1/2X1/2</t>
  </si>
  <si>
    <t>L2-1/2X2-1/2X3/8</t>
  </si>
  <si>
    <t>L2-1/2X2-1/2X5/16</t>
  </si>
  <si>
    <t>L2-1/2X2-1/2X1/4</t>
  </si>
  <si>
    <t>L2-1/2X2-1/2X3/16</t>
  </si>
  <si>
    <t>L2-1/2X2X3/8</t>
  </si>
  <si>
    <t>L2-1/2X2X5/16</t>
  </si>
  <si>
    <t>L2-1/2X2X1/4</t>
  </si>
  <si>
    <t>L2-1/2X2X3/16</t>
  </si>
  <si>
    <t>L2-1/2X1-1/2X1/4</t>
  </si>
  <si>
    <t>L2-1/2X1-1/2X3/16</t>
  </si>
  <si>
    <t>L2X2X3/8</t>
  </si>
  <si>
    <t>L2X2X5/16</t>
  </si>
  <si>
    <t>L2X2X1/4</t>
  </si>
  <si>
    <t>L2X2X3/16</t>
  </si>
  <si>
    <t>L2X2X1/8</t>
  </si>
  <si>
    <t>S</t>
  </si>
  <si>
    <t>S24X121</t>
  </si>
  <si>
    <t>S24X106</t>
  </si>
  <si>
    <t>S24X100</t>
  </si>
  <si>
    <t>S24X90</t>
  </si>
  <si>
    <t>S24X80</t>
  </si>
  <si>
    <t>S20X96</t>
  </si>
  <si>
    <t>S20X86</t>
  </si>
  <si>
    <t>S20X75</t>
  </si>
  <si>
    <t>S20X66</t>
  </si>
  <si>
    <t>S18X70</t>
  </si>
  <si>
    <t>S18X54.7</t>
  </si>
  <si>
    <t>S15X50</t>
  </si>
  <si>
    <t>S15X42.9</t>
  </si>
  <si>
    <t>S12X50</t>
  </si>
  <si>
    <t>S12X40.8</t>
  </si>
  <si>
    <t>S12X35</t>
  </si>
  <si>
    <t>S12X31.8</t>
  </si>
  <si>
    <t>S10X35</t>
  </si>
  <si>
    <t>S10X25.4</t>
  </si>
  <si>
    <t>S8X23</t>
  </si>
  <si>
    <t>S8X18.4</t>
  </si>
  <si>
    <t>S6X17.25</t>
  </si>
  <si>
    <t>S6X12.5</t>
  </si>
  <si>
    <t>S5X10</t>
  </si>
  <si>
    <t>S4X9.5</t>
  </si>
  <si>
    <t>S4X7.7</t>
  </si>
  <si>
    <t>S3X7.5</t>
  </si>
  <si>
    <t>S3X5.7</t>
  </si>
  <si>
    <t>Column1</t>
  </si>
  <si>
    <t>A100</t>
  </si>
  <si>
    <t>l4x3x1/4</t>
  </si>
  <si>
    <t>Default Stock Lengths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</si>
</sst>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0"/>
      <name val="Arial"/>
      <family val="2"/>
    </font>
    <font>
      <sz val="14"/>
      <color rgb="FF9C5700"/>
      <name val="Aptos Narrow"/>
      <family val="2"/>
      <scheme val="minor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6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3" borderId="0" xfId="1" applyAlignment="1">
      <alignment horizontal="center" vertical="center"/>
    </xf>
    <xf numFmtId="0" fontId="1" fillId="3" borderId="0" xfId="1" applyAlignment="1">
      <alignment horizontal="center" vertical="center" wrapText="1"/>
    </xf>
    <xf numFmtId="0" fontId="2" fillId="4" borderId="0" xfId="2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vertical="center"/>
    </xf>
    <xf numFmtId="13" fontId="0" fillId="0" borderId="1" xfId="0" applyNumberFormat="1" applyBorder="1"/>
    <xf numFmtId="49" fontId="0" fillId="2" borderId="1" xfId="0" applyNumberFormat="1" applyFill="1" applyBorder="1" applyAlignment="1">
      <alignment horizontal="right" vertical="center"/>
    </xf>
    <xf numFmtId="0" fontId="4" fillId="5" borderId="0" xfId="3" applyAlignment="1">
      <alignment horizontal="center" vertical="center" wrapText="1"/>
    </xf>
    <xf numFmtId="0" fontId="2" fillId="4" borderId="0" xfId="2" applyFont="1" applyAlignment="1">
      <alignment horizontal="center" vertical="center"/>
    </xf>
    <xf numFmtId="0" fontId="7" fillId="6" borderId="0" xfId="4" applyFont="1" applyAlignment="1">
      <alignment horizontal="center"/>
    </xf>
    <xf numFmtId="0" fontId="6" fillId="0" borderId="0" xfId="5" applyAlignment="1">
      <alignment horizontal="center"/>
    </xf>
    <xf numFmtId="0" fontId="6" fillId="0" borderId="0" xfId="5" applyAlignment="1" applyProtection="1">
      <alignment horizontal="center"/>
      <protection locked="0"/>
    </xf>
    <xf numFmtId="164" fontId="6" fillId="0" borderId="0" xfId="5" applyNumberFormat="1" applyAlignment="1">
      <alignment horizontal="center"/>
    </xf>
    <xf numFmtId="2" fontId="6" fillId="0" borderId="0" xfId="5" applyNumberFormat="1" applyAlignment="1">
      <alignment horizontal="center"/>
    </xf>
    <xf numFmtId="13" fontId="6" fillId="0" borderId="0" xfId="5" applyNumberFormat="1" applyAlignment="1">
      <alignment horizontal="center"/>
    </xf>
    <xf numFmtId="0" fontId="8" fillId="0" borderId="0" xfId="0" applyFont="1" applyAlignment="1">
      <alignment horizontal="center"/>
    </xf>
    <xf numFmtId="0" fontId="5" fillId="6" borderId="0" xfId="4"/>
  </cellXfs>
  <cellStyles count="7">
    <cellStyle name="20% - Accent3" xfId="1" builtinId="38"/>
    <cellStyle name="20% - Accent5" xfId="2" builtinId="46"/>
    <cellStyle name="Good" xfId="3" builtinId="26"/>
    <cellStyle name="Neutral" xfId="4" builtinId="28"/>
    <cellStyle name="Normal" xfId="0" builtinId="0"/>
    <cellStyle name="Normal 6" xfId="5" xr:uid="{ACC082E1-7CA2-48B7-8993-989A60330E79}"/>
    <cellStyle name="Normal 7" xfId="6" xr:uid="{8148B7C6-2330-4D90-A3DF-A2EDF341A35F}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501650</xdr:colOff>
          <xdr:row>0</xdr:row>
          <xdr:rowOff>107950</xdr:rowOff>
        </xdr:from>
        <xdr:to>
          <xdr:col>12</xdr:col>
          <xdr:colOff>419100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Create Nest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5FDF50-AA3C-4C52-86B5-6C11D6C17D68}" name="Table1" displayName="Table1" ref="A1:E869" totalsRowShown="0" headerRowDxfId="4" dataDxfId="5" headerRowCellStyle="Neutral" dataCellStyle="Neutral">
  <autoFilter ref="A1:E869" xr:uid="{145FDF50-AA3C-4C52-86B5-6C11D6C17D68}"/>
  <tableColumns count="5">
    <tableColumn id="2" xr3:uid="{426950E5-7EAF-46CB-93AD-A136D112CCB2}" name="NAME" dataDxfId="3"/>
    <tableColumn id="1" xr3:uid="{12618070-2FDD-4949-9A22-344CC27B0EFD}" name="TYPE" dataDxfId="0"/>
    <tableColumn id="3" xr3:uid="{DE7A80E8-921B-45C6-AAAF-AD81EB84E426}" name="HEIGHT" dataDxfId="2"/>
    <tableColumn id="4" xr3:uid="{7A071A6F-E6F8-4583-BC22-657DD97F72D8}" name="WIDTH" dataDxfId="1"/>
    <tableColumn id="5" xr3:uid="{FC89884F-8869-4F0A-B49B-7442E14870F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D0D2-226A-4E4B-91A1-4F092F814998}">
  <sheetPr codeName="Sheet1"/>
  <dimension ref="A1:H557"/>
  <sheetViews>
    <sheetView zoomScaleNormal="100" workbookViewId="0">
      <selection activeCell="H14" sqref="H14"/>
    </sheetView>
  </sheetViews>
  <sheetFormatPr defaultRowHeight="14.5" x14ac:dyDescent="0.35"/>
  <cols>
    <col min="1" max="1" width="14.36328125" customWidth="1"/>
    <col min="2" max="2" width="12.08984375" style="1" customWidth="1"/>
    <col min="3" max="3" width="12.54296875" style="1" customWidth="1"/>
    <col min="4" max="4" width="15.36328125" style="1" customWidth="1"/>
  </cols>
  <sheetData>
    <row r="1" spans="1:8" ht="28.5" customHeight="1" x14ac:dyDescent="0.35">
      <c r="A1" s="2" t="s">
        <v>0</v>
      </c>
      <c r="B1" s="3" t="s">
        <v>3</v>
      </c>
      <c r="C1" s="3" t="s">
        <v>2</v>
      </c>
      <c r="D1" s="3" t="s">
        <v>1</v>
      </c>
      <c r="E1" s="10" t="s">
        <v>7</v>
      </c>
      <c r="F1" s="10" t="s">
        <v>8</v>
      </c>
      <c r="G1" s="10" t="s">
        <v>9</v>
      </c>
      <c r="H1" s="10" t="s">
        <v>10</v>
      </c>
    </row>
    <row r="2" spans="1:8" ht="20" customHeight="1" x14ac:dyDescent="0.35">
      <c r="A2" s="5" t="s">
        <v>18</v>
      </c>
      <c r="B2" s="5" t="s">
        <v>19</v>
      </c>
      <c r="C2" s="6" t="s">
        <v>20</v>
      </c>
      <c r="D2" s="7" t="s">
        <v>21</v>
      </c>
      <c r="E2" s="9" t="s">
        <v>11</v>
      </c>
      <c r="F2" s="9" t="s">
        <v>11</v>
      </c>
      <c r="G2" s="9" t="s">
        <v>12</v>
      </c>
      <c r="H2" s="9" t="s">
        <v>13</v>
      </c>
    </row>
    <row r="3" spans="1:8" ht="20" customHeight="1" x14ac:dyDescent="0.35">
      <c r="A3" s="5" t="s">
        <v>22</v>
      </c>
      <c r="B3" s="5" t="s">
        <v>23</v>
      </c>
      <c r="C3" s="6" t="s">
        <v>20</v>
      </c>
      <c r="D3" s="7" t="s">
        <v>21</v>
      </c>
      <c r="E3" s="9" t="s">
        <v>11</v>
      </c>
      <c r="F3" s="9" t="s">
        <v>11</v>
      </c>
      <c r="G3" s="9" t="s">
        <v>11</v>
      </c>
      <c r="H3" s="9" t="s">
        <v>13</v>
      </c>
    </row>
    <row r="4" spans="1:8" ht="20" customHeight="1" x14ac:dyDescent="0.35">
      <c r="A4" s="5" t="s">
        <v>24</v>
      </c>
      <c r="B4" s="5" t="s">
        <v>25</v>
      </c>
      <c r="C4" s="6" t="s">
        <v>20</v>
      </c>
      <c r="D4" s="7" t="s">
        <v>21</v>
      </c>
      <c r="E4" s="9" t="s">
        <v>11</v>
      </c>
      <c r="F4" s="9" t="s">
        <v>11</v>
      </c>
      <c r="G4" s="9" t="s">
        <v>12</v>
      </c>
      <c r="H4" s="9" t="s">
        <v>11</v>
      </c>
    </row>
    <row r="5" spans="1:8" ht="20" customHeight="1" x14ac:dyDescent="0.35">
      <c r="A5" s="5" t="s">
        <v>26</v>
      </c>
      <c r="B5" s="5" t="s">
        <v>27</v>
      </c>
      <c r="C5" s="6" t="s">
        <v>20</v>
      </c>
      <c r="D5" s="7" t="s">
        <v>21</v>
      </c>
      <c r="E5" s="9" t="s">
        <v>11</v>
      </c>
      <c r="F5" s="9" t="s">
        <v>11</v>
      </c>
      <c r="G5" s="9" t="s">
        <v>12</v>
      </c>
      <c r="H5" s="9" t="s">
        <v>13</v>
      </c>
    </row>
    <row r="6" spans="1:8" ht="20" customHeight="1" x14ac:dyDescent="0.35">
      <c r="A6" s="5" t="s">
        <v>28</v>
      </c>
      <c r="B6" s="5" t="s">
        <v>29</v>
      </c>
      <c r="C6" s="6" t="s">
        <v>20</v>
      </c>
      <c r="D6" s="7" t="s">
        <v>21</v>
      </c>
      <c r="E6" s="9" t="s">
        <v>11</v>
      </c>
      <c r="F6" s="9" t="s">
        <v>11</v>
      </c>
      <c r="G6" s="9" t="s">
        <v>12</v>
      </c>
      <c r="H6" s="9" t="s">
        <v>11</v>
      </c>
    </row>
    <row r="7" spans="1:8" ht="20" customHeight="1" x14ac:dyDescent="0.35">
      <c r="A7" s="5" t="s">
        <v>30</v>
      </c>
      <c r="B7" s="5" t="s">
        <v>31</v>
      </c>
      <c r="C7" s="6" t="s">
        <v>20</v>
      </c>
      <c r="D7" s="7" t="s">
        <v>21</v>
      </c>
      <c r="E7" s="9" t="s">
        <v>11</v>
      </c>
      <c r="F7" s="9" t="s">
        <v>11</v>
      </c>
      <c r="G7" s="9" t="s">
        <v>14</v>
      </c>
      <c r="H7" s="9" t="s">
        <v>15</v>
      </c>
    </row>
    <row r="8" spans="1:8" ht="20" customHeight="1" x14ac:dyDescent="0.35">
      <c r="A8" s="5" t="s">
        <v>32</v>
      </c>
      <c r="B8" s="5" t="s">
        <v>33</v>
      </c>
      <c r="C8" s="6" t="s">
        <v>20</v>
      </c>
      <c r="D8" s="7" t="s">
        <v>21</v>
      </c>
      <c r="E8" s="9" t="s">
        <v>11</v>
      </c>
      <c r="F8" s="9" t="s">
        <v>11</v>
      </c>
      <c r="G8" s="9" t="s">
        <v>12</v>
      </c>
      <c r="H8" s="9" t="s">
        <v>13</v>
      </c>
    </row>
    <row r="9" spans="1:8" ht="20" customHeight="1" x14ac:dyDescent="0.35">
      <c r="A9" s="5" t="s">
        <v>34</v>
      </c>
      <c r="B9" s="5" t="s">
        <v>35</v>
      </c>
      <c r="C9" s="6" t="s">
        <v>36</v>
      </c>
      <c r="D9" s="7" t="s">
        <v>21</v>
      </c>
      <c r="E9" s="9" t="s">
        <v>11</v>
      </c>
      <c r="F9" s="9" t="s">
        <v>11</v>
      </c>
      <c r="G9" s="9" t="s">
        <v>11</v>
      </c>
      <c r="H9" s="9" t="s">
        <v>11</v>
      </c>
    </row>
    <row r="10" spans="1:8" ht="20" customHeight="1" x14ac:dyDescent="0.35">
      <c r="A10" s="5" t="s">
        <v>37</v>
      </c>
      <c r="B10" s="5" t="s">
        <v>38</v>
      </c>
      <c r="C10" s="6" t="s">
        <v>20</v>
      </c>
      <c r="D10" s="7" t="s">
        <v>21</v>
      </c>
      <c r="E10" s="9" t="s">
        <v>11</v>
      </c>
      <c r="F10" s="9" t="s">
        <v>11</v>
      </c>
      <c r="G10" s="9" t="s">
        <v>16</v>
      </c>
      <c r="H10" s="9" t="s">
        <v>13</v>
      </c>
    </row>
    <row r="11" spans="1:8" ht="20" customHeight="1" x14ac:dyDescent="0.35">
      <c r="A11" s="5" t="s">
        <v>39</v>
      </c>
      <c r="B11" s="5" t="s">
        <v>40</v>
      </c>
      <c r="C11" s="6" t="s">
        <v>20</v>
      </c>
      <c r="D11" s="7" t="s">
        <v>21</v>
      </c>
      <c r="E11" s="9" t="s">
        <v>11</v>
      </c>
      <c r="F11" s="9" t="s">
        <v>11</v>
      </c>
      <c r="G11" s="9" t="s">
        <v>11</v>
      </c>
      <c r="H11" s="9" t="s">
        <v>17</v>
      </c>
    </row>
    <row r="12" spans="1:8" ht="20" customHeight="1" x14ac:dyDescent="0.35">
      <c r="A12" s="5" t="s">
        <v>41</v>
      </c>
      <c r="B12" s="5" t="s">
        <v>42</v>
      </c>
      <c r="C12" s="6" t="s">
        <v>43</v>
      </c>
      <c r="D12" s="7" t="s">
        <v>21</v>
      </c>
      <c r="E12" s="9" t="s">
        <v>11</v>
      </c>
      <c r="F12" s="9" t="s">
        <v>11</v>
      </c>
      <c r="G12" s="9" t="s">
        <v>11</v>
      </c>
      <c r="H12" s="9" t="s">
        <v>11</v>
      </c>
    </row>
    <row r="13" spans="1:8" ht="20" customHeight="1" x14ac:dyDescent="0.35">
      <c r="A13" s="5" t="s">
        <v>924</v>
      </c>
      <c r="B13" s="8">
        <v>36.125</v>
      </c>
      <c r="C13" s="6">
        <v>10</v>
      </c>
      <c r="D13" s="7" t="s">
        <v>925</v>
      </c>
      <c r="E13" s="5">
        <v>0</v>
      </c>
      <c r="F13" s="5">
        <v>0</v>
      </c>
      <c r="G13" s="5">
        <v>0</v>
      </c>
      <c r="H13" s="5">
        <v>0</v>
      </c>
    </row>
    <row r="14" spans="1:8" ht="20" customHeight="1" x14ac:dyDescent="0.35">
      <c r="A14" s="5"/>
      <c r="B14" s="5"/>
      <c r="C14" s="6"/>
      <c r="D14" s="7"/>
      <c r="E14" s="5"/>
      <c r="F14" s="5"/>
      <c r="G14" s="5"/>
      <c r="H14" s="5"/>
    </row>
    <row r="15" spans="1:8" ht="20" customHeight="1" x14ac:dyDescent="0.35">
      <c r="A15" s="5"/>
      <c r="B15" s="6"/>
      <c r="C15" s="6"/>
      <c r="D15" s="6"/>
      <c r="E15" s="5"/>
      <c r="F15" s="5"/>
      <c r="G15" s="5"/>
      <c r="H15" s="5"/>
    </row>
    <row r="16" spans="1:8" ht="20" customHeight="1" x14ac:dyDescent="0.35">
      <c r="A16" s="5"/>
      <c r="B16" s="6"/>
      <c r="C16" s="6"/>
      <c r="D16" s="6"/>
      <c r="E16" s="5"/>
      <c r="F16" s="5"/>
      <c r="G16" s="5"/>
      <c r="H16" s="5"/>
    </row>
    <row r="17" spans="1:8" ht="20" customHeight="1" x14ac:dyDescent="0.35">
      <c r="A17" s="5"/>
      <c r="B17" s="6"/>
      <c r="C17" s="6"/>
      <c r="D17" s="6"/>
      <c r="E17" s="5"/>
      <c r="F17" s="5"/>
      <c r="G17" s="5"/>
      <c r="H17" s="5"/>
    </row>
    <row r="18" spans="1:8" ht="20" customHeight="1" x14ac:dyDescent="0.35">
      <c r="A18" s="5"/>
      <c r="B18" s="6"/>
      <c r="C18" s="6"/>
      <c r="D18" s="6"/>
      <c r="E18" s="5"/>
      <c r="F18" s="5"/>
      <c r="G18" s="5"/>
      <c r="H18" s="5"/>
    </row>
    <row r="19" spans="1:8" ht="20" customHeight="1" x14ac:dyDescent="0.35">
      <c r="A19" s="5"/>
      <c r="B19" s="6"/>
      <c r="C19" s="6"/>
      <c r="D19" s="6"/>
      <c r="E19" s="5"/>
      <c r="F19" s="5"/>
      <c r="G19" s="5"/>
      <c r="H19" s="5"/>
    </row>
    <row r="20" spans="1:8" ht="20" customHeight="1" x14ac:dyDescent="0.35">
      <c r="A20" s="5"/>
      <c r="B20" s="6"/>
      <c r="C20" s="6"/>
      <c r="D20" s="6"/>
      <c r="E20" s="5"/>
      <c r="F20" s="5"/>
      <c r="G20" s="5"/>
      <c r="H20" s="5"/>
    </row>
    <row r="21" spans="1:8" ht="20" customHeight="1" x14ac:dyDescent="0.35">
      <c r="A21" s="5"/>
      <c r="B21" s="6"/>
      <c r="C21" s="6"/>
      <c r="D21" s="6"/>
      <c r="E21" s="5"/>
      <c r="F21" s="5"/>
      <c r="G21" s="5"/>
      <c r="H21" s="5"/>
    </row>
    <row r="22" spans="1:8" ht="20" customHeight="1" x14ac:dyDescent="0.35">
      <c r="A22" s="5"/>
      <c r="B22" s="6"/>
      <c r="C22" s="6"/>
      <c r="D22" s="6"/>
      <c r="E22" s="5"/>
      <c r="F22" s="5"/>
      <c r="G22" s="5"/>
      <c r="H22" s="5"/>
    </row>
    <row r="23" spans="1:8" ht="20" customHeight="1" x14ac:dyDescent="0.35">
      <c r="A23" s="5"/>
      <c r="B23" s="6"/>
      <c r="C23" s="6"/>
      <c r="D23" s="6"/>
      <c r="E23" s="5"/>
      <c r="F23" s="5"/>
      <c r="G23" s="5"/>
      <c r="H23" s="5"/>
    </row>
    <row r="24" spans="1:8" ht="20" customHeight="1" x14ac:dyDescent="0.35">
      <c r="A24" s="5"/>
      <c r="B24" s="6"/>
      <c r="C24" s="6"/>
      <c r="D24" s="6"/>
      <c r="E24" s="5"/>
      <c r="F24" s="5"/>
      <c r="G24" s="5"/>
      <c r="H24" s="5"/>
    </row>
    <row r="25" spans="1:8" ht="20" customHeight="1" x14ac:dyDescent="0.35">
      <c r="A25" s="5"/>
      <c r="B25" s="6"/>
      <c r="C25" s="6"/>
      <c r="D25" s="6"/>
      <c r="E25" s="5"/>
      <c r="F25" s="5"/>
      <c r="G25" s="5"/>
      <c r="H25" s="5"/>
    </row>
    <row r="26" spans="1:8" ht="20" customHeight="1" x14ac:dyDescent="0.35">
      <c r="A26" s="5"/>
      <c r="B26" s="6"/>
      <c r="C26" s="6"/>
      <c r="D26" s="6"/>
      <c r="E26" s="5"/>
      <c r="F26" s="5"/>
      <c r="G26" s="5"/>
      <c r="H26" s="5"/>
    </row>
    <row r="27" spans="1:8" ht="20" customHeight="1" x14ac:dyDescent="0.35">
      <c r="A27" s="5"/>
      <c r="B27" s="6"/>
      <c r="C27" s="6"/>
      <c r="D27" s="6"/>
      <c r="E27" s="5"/>
      <c r="F27" s="5"/>
      <c r="G27" s="5"/>
      <c r="H27" s="5"/>
    </row>
    <row r="28" spans="1:8" ht="20" customHeight="1" x14ac:dyDescent="0.35">
      <c r="A28" s="5"/>
      <c r="B28" s="6"/>
      <c r="C28" s="6"/>
      <c r="D28" s="6"/>
      <c r="E28" s="5"/>
      <c r="F28" s="5"/>
      <c r="G28" s="5"/>
      <c r="H28" s="5"/>
    </row>
    <row r="29" spans="1:8" ht="20" customHeight="1" x14ac:dyDescent="0.35">
      <c r="A29" s="5"/>
      <c r="B29" s="6"/>
      <c r="C29" s="6"/>
      <c r="D29" s="6"/>
      <c r="E29" s="5"/>
      <c r="F29" s="5"/>
      <c r="G29" s="5"/>
      <c r="H29" s="5"/>
    </row>
    <row r="30" spans="1:8" ht="20" customHeight="1" x14ac:dyDescent="0.35">
      <c r="A30" s="5"/>
      <c r="B30" s="6"/>
      <c r="C30" s="6"/>
      <c r="D30" s="6"/>
      <c r="E30" s="5"/>
      <c r="F30" s="5"/>
      <c r="G30" s="5"/>
      <c r="H30" s="5"/>
    </row>
    <row r="31" spans="1:8" ht="20" customHeight="1" x14ac:dyDescent="0.35">
      <c r="A31" s="5"/>
      <c r="B31" s="6"/>
      <c r="C31" s="6"/>
      <c r="D31" s="6"/>
      <c r="E31" s="5"/>
      <c r="F31" s="5"/>
      <c r="G31" s="5"/>
      <c r="H31" s="5"/>
    </row>
    <row r="32" spans="1:8" ht="20" customHeight="1" x14ac:dyDescent="0.35">
      <c r="A32" s="5"/>
      <c r="B32" s="6"/>
      <c r="C32" s="6"/>
      <c r="D32" s="6"/>
      <c r="E32" s="5"/>
      <c r="F32" s="5"/>
      <c r="G32" s="5"/>
      <c r="H32" s="5"/>
    </row>
    <row r="33" spans="1:8" ht="20" customHeight="1" x14ac:dyDescent="0.35">
      <c r="A33" s="5"/>
      <c r="B33" s="6"/>
      <c r="C33" s="6"/>
      <c r="D33" s="6"/>
      <c r="E33" s="5"/>
      <c r="F33" s="5"/>
      <c r="G33" s="5"/>
      <c r="H33" s="5"/>
    </row>
    <row r="34" spans="1:8" ht="20" customHeight="1" x14ac:dyDescent="0.35">
      <c r="A34" s="5"/>
      <c r="B34" s="6"/>
      <c r="C34" s="6"/>
      <c r="D34" s="6"/>
      <c r="E34" s="5"/>
      <c r="F34" s="5"/>
      <c r="G34" s="5"/>
      <c r="H34" s="5"/>
    </row>
    <row r="35" spans="1:8" ht="20" customHeight="1" x14ac:dyDescent="0.35">
      <c r="A35" s="5"/>
      <c r="B35" s="6"/>
      <c r="C35" s="6"/>
      <c r="D35" s="6"/>
      <c r="E35" s="5"/>
      <c r="F35" s="5"/>
      <c r="G35" s="5"/>
      <c r="H35" s="5"/>
    </row>
    <row r="36" spans="1:8" ht="20" customHeight="1" x14ac:dyDescent="0.35">
      <c r="A36" s="5"/>
      <c r="B36" s="6"/>
      <c r="C36" s="6"/>
      <c r="D36" s="6"/>
      <c r="E36" s="5"/>
      <c r="F36" s="5"/>
      <c r="G36" s="5"/>
      <c r="H36" s="5"/>
    </row>
    <row r="37" spans="1:8" ht="20" customHeight="1" x14ac:dyDescent="0.35">
      <c r="A37" s="5"/>
      <c r="B37" s="6"/>
      <c r="C37" s="6"/>
      <c r="D37" s="6"/>
      <c r="E37" s="5"/>
      <c r="F37" s="5"/>
      <c r="G37" s="5"/>
      <c r="H37" s="5"/>
    </row>
    <row r="38" spans="1:8" ht="20" customHeight="1" x14ac:dyDescent="0.35">
      <c r="A38" s="5"/>
      <c r="B38" s="6"/>
      <c r="C38" s="6"/>
      <c r="D38" s="6"/>
      <c r="E38" s="5"/>
      <c r="F38" s="5"/>
      <c r="G38" s="5"/>
      <c r="H38" s="5"/>
    </row>
    <row r="39" spans="1:8" ht="20" customHeight="1" x14ac:dyDescent="0.35">
      <c r="A39" s="5"/>
      <c r="B39" s="6"/>
      <c r="C39" s="6"/>
      <c r="D39" s="6"/>
      <c r="E39" s="5"/>
      <c r="F39" s="5"/>
      <c r="G39" s="5"/>
      <c r="H39" s="5"/>
    </row>
    <row r="40" spans="1:8" ht="20" customHeight="1" x14ac:dyDescent="0.35">
      <c r="A40" s="5"/>
      <c r="B40" s="6"/>
      <c r="C40" s="6"/>
      <c r="D40" s="6"/>
      <c r="E40" s="5"/>
      <c r="F40" s="5"/>
      <c r="G40" s="5"/>
      <c r="H40" s="5"/>
    </row>
    <row r="41" spans="1:8" ht="20" customHeight="1" x14ac:dyDescent="0.35">
      <c r="A41" s="5"/>
      <c r="B41" s="6"/>
      <c r="C41" s="6"/>
      <c r="D41" s="6"/>
      <c r="E41" s="5"/>
      <c r="F41" s="5"/>
      <c r="G41" s="5"/>
      <c r="H41" s="5"/>
    </row>
    <row r="42" spans="1:8" ht="20" customHeight="1" x14ac:dyDescent="0.35">
      <c r="A42" s="5"/>
      <c r="B42" s="6"/>
      <c r="C42" s="6"/>
      <c r="D42" s="6"/>
      <c r="E42" s="5"/>
      <c r="F42" s="5"/>
      <c r="G42" s="5"/>
      <c r="H42" s="5"/>
    </row>
    <row r="43" spans="1:8" ht="20" customHeight="1" x14ac:dyDescent="0.35">
      <c r="A43" s="5"/>
      <c r="B43" s="6"/>
      <c r="C43" s="6"/>
      <c r="D43" s="6"/>
      <c r="E43" s="5"/>
      <c r="F43" s="5"/>
      <c r="G43" s="5"/>
      <c r="H43" s="5"/>
    </row>
    <row r="44" spans="1:8" ht="20" customHeight="1" x14ac:dyDescent="0.35">
      <c r="A44" s="5"/>
      <c r="B44" s="6"/>
      <c r="C44" s="6"/>
      <c r="D44" s="6"/>
      <c r="E44" s="5"/>
      <c r="F44" s="5"/>
      <c r="G44" s="5"/>
      <c r="H44" s="5"/>
    </row>
    <row r="45" spans="1:8" ht="20" customHeight="1" x14ac:dyDescent="0.35">
      <c r="A45" s="5"/>
      <c r="B45" s="6"/>
      <c r="C45" s="6"/>
      <c r="D45" s="6"/>
      <c r="E45" s="5"/>
      <c r="F45" s="5"/>
      <c r="G45" s="5"/>
      <c r="H45" s="5"/>
    </row>
    <row r="46" spans="1:8" ht="20" customHeight="1" x14ac:dyDescent="0.35">
      <c r="A46" s="5"/>
      <c r="B46" s="6"/>
      <c r="C46" s="6"/>
      <c r="D46" s="6"/>
      <c r="E46" s="5"/>
      <c r="F46" s="5"/>
      <c r="G46" s="5"/>
      <c r="H46" s="5"/>
    </row>
    <row r="47" spans="1:8" ht="20" customHeight="1" x14ac:dyDescent="0.35">
      <c r="A47" s="5"/>
      <c r="B47" s="6"/>
      <c r="C47" s="6"/>
      <c r="D47" s="6"/>
      <c r="E47" s="5"/>
      <c r="F47" s="5"/>
      <c r="G47" s="5"/>
      <c r="H47" s="5"/>
    </row>
    <row r="48" spans="1:8" ht="20" customHeight="1" x14ac:dyDescent="0.35">
      <c r="A48" s="5"/>
      <c r="B48" s="6"/>
      <c r="C48" s="6"/>
      <c r="D48" s="6"/>
      <c r="E48" s="5"/>
      <c r="F48" s="5"/>
      <c r="G48" s="5"/>
      <c r="H48" s="5"/>
    </row>
    <row r="49" spans="1:8" ht="20" customHeight="1" x14ac:dyDescent="0.35">
      <c r="A49" s="5"/>
      <c r="B49" s="6"/>
      <c r="C49" s="6"/>
      <c r="D49" s="6"/>
      <c r="E49" s="5"/>
      <c r="F49" s="5"/>
      <c r="G49" s="5"/>
      <c r="H49" s="5"/>
    </row>
    <row r="50" spans="1:8" ht="20" customHeight="1" x14ac:dyDescent="0.35">
      <c r="A50" s="5"/>
      <c r="B50" s="6"/>
      <c r="C50" s="6"/>
      <c r="D50" s="6"/>
      <c r="E50" s="5"/>
      <c r="F50" s="5"/>
      <c r="G50" s="5"/>
      <c r="H50" s="5"/>
    </row>
    <row r="51" spans="1:8" ht="20" customHeight="1" x14ac:dyDescent="0.35">
      <c r="A51" s="5"/>
      <c r="B51" s="6"/>
      <c r="C51" s="6"/>
      <c r="D51" s="6"/>
      <c r="E51" s="5"/>
      <c r="F51" s="5"/>
      <c r="G51" s="5"/>
      <c r="H51" s="5"/>
    </row>
    <row r="52" spans="1:8" ht="20" customHeight="1" x14ac:dyDescent="0.35">
      <c r="A52" s="5"/>
      <c r="B52" s="6"/>
      <c r="C52" s="6"/>
      <c r="D52" s="6"/>
      <c r="E52" s="5"/>
      <c r="F52" s="5"/>
      <c r="G52" s="5"/>
      <c r="H52" s="5"/>
    </row>
    <row r="53" spans="1:8" ht="20" customHeight="1" x14ac:dyDescent="0.35">
      <c r="A53" s="5"/>
      <c r="B53" s="6"/>
      <c r="C53" s="6"/>
      <c r="D53" s="6"/>
      <c r="E53" s="5"/>
      <c r="F53" s="5"/>
      <c r="G53" s="5"/>
      <c r="H53" s="5"/>
    </row>
    <row r="54" spans="1:8" ht="20" customHeight="1" x14ac:dyDescent="0.35">
      <c r="A54" s="5"/>
      <c r="B54" s="6"/>
      <c r="C54" s="6"/>
      <c r="D54" s="6"/>
      <c r="E54" s="5"/>
      <c r="F54" s="5"/>
      <c r="G54" s="5"/>
      <c r="H54" s="5"/>
    </row>
    <row r="55" spans="1:8" ht="20" customHeight="1" x14ac:dyDescent="0.35">
      <c r="A55" s="5"/>
      <c r="B55" s="6"/>
      <c r="C55" s="6"/>
      <c r="D55" s="6"/>
      <c r="E55" s="5"/>
      <c r="F55" s="5"/>
      <c r="G55" s="5"/>
      <c r="H55" s="5"/>
    </row>
    <row r="56" spans="1:8" ht="20" customHeight="1" x14ac:dyDescent="0.35">
      <c r="A56" s="5"/>
      <c r="B56" s="6"/>
      <c r="C56" s="6"/>
      <c r="D56" s="6"/>
      <c r="E56" s="5"/>
      <c r="F56" s="5"/>
      <c r="G56" s="5"/>
      <c r="H56" s="5"/>
    </row>
    <row r="57" spans="1:8" ht="20" customHeight="1" x14ac:dyDescent="0.35">
      <c r="A57" s="5"/>
      <c r="B57" s="6"/>
      <c r="C57" s="6"/>
      <c r="D57" s="6"/>
      <c r="E57" s="5"/>
      <c r="F57" s="5"/>
      <c r="G57" s="5"/>
      <c r="H57" s="5"/>
    </row>
    <row r="58" spans="1:8" ht="20" customHeight="1" x14ac:dyDescent="0.35">
      <c r="A58" s="5"/>
      <c r="B58" s="6"/>
      <c r="C58" s="6"/>
      <c r="D58" s="6"/>
      <c r="E58" s="5"/>
      <c r="F58" s="5"/>
      <c r="G58" s="5"/>
      <c r="H58" s="5"/>
    </row>
    <row r="59" spans="1:8" ht="20" customHeight="1" x14ac:dyDescent="0.35">
      <c r="A59" s="5"/>
      <c r="B59" s="6"/>
      <c r="C59" s="6"/>
      <c r="D59" s="6"/>
      <c r="E59" s="5"/>
      <c r="F59" s="5"/>
      <c r="G59" s="5"/>
      <c r="H59" s="5"/>
    </row>
    <row r="60" spans="1:8" ht="20" customHeight="1" x14ac:dyDescent="0.35">
      <c r="A60" s="5"/>
      <c r="B60" s="6"/>
      <c r="C60" s="6"/>
      <c r="D60" s="6"/>
      <c r="E60" s="5"/>
      <c r="F60" s="5"/>
      <c r="G60" s="5"/>
      <c r="H60" s="5"/>
    </row>
    <row r="61" spans="1:8" ht="20" customHeight="1" x14ac:dyDescent="0.35">
      <c r="A61" s="5"/>
      <c r="B61" s="6"/>
      <c r="C61" s="6"/>
      <c r="D61" s="6"/>
      <c r="E61" s="5"/>
      <c r="F61" s="5"/>
      <c r="G61" s="5"/>
      <c r="H61" s="5"/>
    </row>
    <row r="62" spans="1:8" ht="20" customHeight="1" x14ac:dyDescent="0.35">
      <c r="A62" s="5"/>
      <c r="B62" s="6"/>
      <c r="C62" s="6"/>
      <c r="D62" s="6"/>
      <c r="E62" s="5"/>
      <c r="F62" s="5"/>
      <c r="G62" s="5"/>
      <c r="H62" s="5"/>
    </row>
    <row r="63" spans="1:8" ht="20" customHeight="1" x14ac:dyDescent="0.35">
      <c r="A63" s="5"/>
      <c r="B63" s="6"/>
      <c r="C63" s="6"/>
      <c r="D63" s="6"/>
      <c r="E63" s="5"/>
      <c r="F63" s="5"/>
      <c r="G63" s="5"/>
      <c r="H63" s="5"/>
    </row>
    <row r="64" spans="1:8" ht="20" customHeight="1" x14ac:dyDescent="0.35">
      <c r="A64" s="5"/>
      <c r="B64" s="6"/>
      <c r="C64" s="6"/>
      <c r="D64" s="6"/>
      <c r="E64" s="5"/>
      <c r="F64" s="5"/>
      <c r="G64" s="5"/>
      <c r="H64" s="5"/>
    </row>
    <row r="65" spans="1:8" ht="20" customHeight="1" x14ac:dyDescent="0.35">
      <c r="A65" s="5"/>
      <c r="B65" s="6"/>
      <c r="C65" s="6"/>
      <c r="D65" s="6"/>
      <c r="E65" s="5"/>
      <c r="F65" s="5"/>
      <c r="G65" s="5"/>
      <c r="H65" s="5"/>
    </row>
    <row r="66" spans="1:8" ht="20" customHeight="1" x14ac:dyDescent="0.35">
      <c r="A66" s="5"/>
      <c r="B66" s="6"/>
      <c r="C66" s="6"/>
      <c r="D66" s="6"/>
      <c r="E66" s="5"/>
      <c r="F66" s="5"/>
      <c r="G66" s="5"/>
      <c r="H66" s="5"/>
    </row>
    <row r="67" spans="1:8" ht="20" customHeight="1" x14ac:dyDescent="0.35">
      <c r="A67" s="5"/>
      <c r="B67" s="6"/>
      <c r="C67" s="6"/>
      <c r="D67" s="6"/>
      <c r="E67" s="5"/>
      <c r="F67" s="5"/>
      <c r="G67" s="5"/>
      <c r="H67" s="5"/>
    </row>
    <row r="68" spans="1:8" ht="20" customHeight="1" x14ac:dyDescent="0.35">
      <c r="A68" s="5"/>
      <c r="B68" s="6"/>
      <c r="C68" s="6"/>
      <c r="D68" s="6"/>
      <c r="E68" s="5"/>
      <c r="F68" s="5"/>
      <c r="G68" s="5"/>
      <c r="H68" s="5"/>
    </row>
    <row r="69" spans="1:8" ht="20" customHeight="1" x14ac:dyDescent="0.35">
      <c r="A69" s="5"/>
      <c r="B69" s="6"/>
      <c r="C69" s="6"/>
      <c r="D69" s="6"/>
      <c r="E69" s="5"/>
      <c r="F69" s="5"/>
      <c r="G69" s="5"/>
      <c r="H69" s="5"/>
    </row>
    <row r="70" spans="1:8" ht="20" customHeight="1" x14ac:dyDescent="0.35">
      <c r="A70" s="5"/>
      <c r="B70" s="6"/>
      <c r="C70" s="6"/>
      <c r="D70" s="6"/>
      <c r="E70" s="5"/>
      <c r="F70" s="5"/>
      <c r="G70" s="5"/>
      <c r="H70" s="5"/>
    </row>
    <row r="71" spans="1:8" ht="20" customHeight="1" x14ac:dyDescent="0.35">
      <c r="A71" s="5"/>
      <c r="B71" s="6"/>
      <c r="C71" s="6"/>
      <c r="D71" s="6"/>
      <c r="E71" s="5"/>
      <c r="F71" s="5"/>
      <c r="G71" s="5"/>
      <c r="H71" s="5"/>
    </row>
    <row r="72" spans="1:8" ht="20" customHeight="1" x14ac:dyDescent="0.35">
      <c r="A72" s="5"/>
      <c r="B72" s="6"/>
      <c r="C72" s="6"/>
      <c r="D72" s="6"/>
      <c r="E72" s="5"/>
      <c r="F72" s="5"/>
      <c r="G72" s="5"/>
      <c r="H72" s="5"/>
    </row>
    <row r="73" spans="1:8" ht="20" customHeight="1" x14ac:dyDescent="0.35">
      <c r="A73" s="5"/>
      <c r="B73" s="6"/>
      <c r="C73" s="6"/>
      <c r="D73" s="6"/>
      <c r="E73" s="5"/>
      <c r="F73" s="5"/>
      <c r="G73" s="5"/>
      <c r="H73" s="5"/>
    </row>
    <row r="74" spans="1:8" ht="20" customHeight="1" x14ac:dyDescent="0.35">
      <c r="A74" s="5"/>
      <c r="B74" s="6"/>
      <c r="C74" s="6"/>
      <c r="D74" s="6"/>
      <c r="E74" s="5"/>
      <c r="F74" s="5"/>
      <c r="G74" s="5"/>
      <c r="H74" s="5"/>
    </row>
    <row r="75" spans="1:8" ht="20" customHeight="1" x14ac:dyDescent="0.35">
      <c r="A75" s="5"/>
      <c r="B75" s="6"/>
      <c r="C75" s="6"/>
      <c r="D75" s="6"/>
      <c r="E75" s="5"/>
      <c r="F75" s="5"/>
      <c r="G75" s="5"/>
      <c r="H75" s="5"/>
    </row>
    <row r="76" spans="1:8" ht="20" customHeight="1" x14ac:dyDescent="0.35">
      <c r="A76" s="5"/>
      <c r="B76" s="6"/>
      <c r="C76" s="6"/>
      <c r="D76" s="6"/>
      <c r="E76" s="5"/>
      <c r="F76" s="5"/>
      <c r="G76" s="5"/>
      <c r="H76" s="5"/>
    </row>
    <row r="77" spans="1:8" ht="20" customHeight="1" x14ac:dyDescent="0.35">
      <c r="A77" s="5"/>
      <c r="B77" s="6"/>
      <c r="C77" s="6"/>
      <c r="D77" s="6"/>
      <c r="E77" s="5"/>
      <c r="F77" s="5"/>
      <c r="G77" s="5"/>
      <c r="H77" s="5"/>
    </row>
    <row r="78" spans="1:8" ht="20" customHeight="1" x14ac:dyDescent="0.35">
      <c r="A78" s="5"/>
      <c r="B78" s="6"/>
      <c r="C78" s="6"/>
      <c r="D78" s="6"/>
      <c r="E78" s="5"/>
      <c r="F78" s="5"/>
      <c r="G78" s="5"/>
      <c r="H78" s="5"/>
    </row>
    <row r="79" spans="1:8" x14ac:dyDescent="0.35">
      <c r="A79" s="5"/>
      <c r="B79" s="6"/>
      <c r="C79" s="6"/>
      <c r="D79" s="6"/>
      <c r="E79" s="5"/>
      <c r="F79" s="5"/>
      <c r="G79" s="5"/>
      <c r="H79" s="5"/>
    </row>
    <row r="80" spans="1:8" x14ac:dyDescent="0.35">
      <c r="A80" s="5"/>
      <c r="B80" s="6"/>
      <c r="C80" s="6"/>
      <c r="D80" s="6"/>
      <c r="E80" s="5"/>
      <c r="F80" s="5"/>
      <c r="G80" s="5"/>
      <c r="H80" s="5"/>
    </row>
    <row r="81" spans="1:8" x14ac:dyDescent="0.35">
      <c r="A81" s="5"/>
      <c r="B81" s="6"/>
      <c r="C81" s="6"/>
      <c r="D81" s="6"/>
      <c r="E81" s="5"/>
      <c r="F81" s="5"/>
      <c r="G81" s="5"/>
      <c r="H81" s="5"/>
    </row>
    <row r="82" spans="1:8" x14ac:dyDescent="0.35">
      <c r="A82" s="5"/>
      <c r="B82" s="6"/>
      <c r="C82" s="6"/>
      <c r="D82" s="6"/>
      <c r="E82" s="5"/>
      <c r="F82" s="5"/>
      <c r="G82" s="5"/>
      <c r="H82" s="5"/>
    </row>
    <row r="83" spans="1:8" x14ac:dyDescent="0.35">
      <c r="A83" s="5"/>
      <c r="B83" s="6"/>
      <c r="C83" s="6"/>
      <c r="D83" s="6"/>
      <c r="E83" s="5"/>
      <c r="F83" s="5"/>
      <c r="G83" s="5"/>
      <c r="H83" s="5"/>
    </row>
    <row r="84" spans="1:8" x14ac:dyDescent="0.35">
      <c r="A84" s="5"/>
      <c r="B84" s="6"/>
      <c r="C84" s="6"/>
      <c r="D84" s="6"/>
      <c r="E84" s="5"/>
      <c r="F84" s="5"/>
      <c r="G84" s="5"/>
      <c r="H84" s="5"/>
    </row>
    <row r="85" spans="1:8" x14ac:dyDescent="0.35">
      <c r="A85" s="5"/>
      <c r="B85" s="6"/>
      <c r="C85" s="6"/>
      <c r="D85" s="6"/>
      <c r="E85" s="5"/>
      <c r="F85" s="5"/>
      <c r="G85" s="5"/>
      <c r="H85" s="5"/>
    </row>
    <row r="86" spans="1:8" x14ac:dyDescent="0.35">
      <c r="A86" s="5"/>
      <c r="B86" s="6"/>
      <c r="C86" s="6"/>
      <c r="D86" s="6"/>
      <c r="E86" s="5"/>
      <c r="F86" s="5"/>
      <c r="G86" s="5"/>
      <c r="H86" s="5"/>
    </row>
    <row r="87" spans="1:8" x14ac:dyDescent="0.35">
      <c r="A87" s="5"/>
      <c r="B87" s="6"/>
      <c r="C87" s="6"/>
      <c r="D87" s="6"/>
      <c r="E87" s="5"/>
      <c r="F87" s="5"/>
      <c r="G87" s="5"/>
      <c r="H87" s="5"/>
    </row>
    <row r="88" spans="1:8" x14ac:dyDescent="0.35">
      <c r="A88" s="5"/>
      <c r="B88" s="6"/>
      <c r="C88" s="6"/>
      <c r="D88" s="6"/>
      <c r="E88" s="5"/>
      <c r="F88" s="5"/>
      <c r="G88" s="5"/>
      <c r="H88" s="5"/>
    </row>
    <row r="89" spans="1:8" x14ac:dyDescent="0.35">
      <c r="A89" s="5"/>
      <c r="B89" s="6"/>
      <c r="C89" s="6"/>
      <c r="D89" s="6"/>
      <c r="E89" s="5"/>
      <c r="F89" s="5"/>
      <c r="G89" s="5"/>
      <c r="H89" s="5"/>
    </row>
    <row r="90" spans="1:8" x14ac:dyDescent="0.35">
      <c r="A90" s="5"/>
      <c r="B90" s="6"/>
      <c r="C90" s="6"/>
      <c r="D90" s="6"/>
      <c r="E90" s="5"/>
      <c r="F90" s="5"/>
      <c r="G90" s="5"/>
      <c r="H90" s="5"/>
    </row>
    <row r="91" spans="1:8" x14ac:dyDescent="0.35">
      <c r="A91" s="5"/>
      <c r="B91" s="6"/>
      <c r="C91" s="6"/>
      <c r="D91" s="6"/>
      <c r="E91" s="5"/>
      <c r="F91" s="5"/>
      <c r="G91" s="5"/>
      <c r="H91" s="5"/>
    </row>
    <row r="92" spans="1:8" x14ac:dyDescent="0.35">
      <c r="A92" s="5"/>
      <c r="B92" s="6"/>
      <c r="C92" s="6"/>
      <c r="D92" s="6"/>
      <c r="E92" s="5"/>
      <c r="F92" s="5"/>
      <c r="G92" s="5"/>
      <c r="H92" s="5"/>
    </row>
    <row r="93" spans="1:8" x14ac:dyDescent="0.35">
      <c r="A93" s="5"/>
      <c r="B93" s="6"/>
      <c r="C93" s="6"/>
      <c r="D93" s="6"/>
      <c r="E93" s="5"/>
      <c r="F93" s="5"/>
      <c r="G93" s="5"/>
      <c r="H93" s="5"/>
    </row>
    <row r="94" spans="1:8" x14ac:dyDescent="0.35">
      <c r="A94" s="5"/>
      <c r="B94" s="6"/>
      <c r="C94" s="6"/>
      <c r="D94" s="6"/>
      <c r="E94" s="5"/>
      <c r="F94" s="5"/>
      <c r="G94" s="5"/>
      <c r="H94" s="5"/>
    </row>
    <row r="95" spans="1:8" x14ac:dyDescent="0.35">
      <c r="A95" s="5"/>
      <c r="B95" s="6"/>
      <c r="C95" s="6"/>
      <c r="D95" s="6"/>
      <c r="E95" s="5"/>
      <c r="F95" s="5"/>
      <c r="G95" s="5"/>
      <c r="H95" s="5"/>
    </row>
    <row r="96" spans="1:8" x14ac:dyDescent="0.35">
      <c r="A96" s="5"/>
      <c r="B96" s="6"/>
      <c r="C96" s="6"/>
      <c r="D96" s="6"/>
      <c r="E96" s="5"/>
      <c r="F96" s="5"/>
      <c r="G96" s="5"/>
      <c r="H96" s="5"/>
    </row>
    <row r="97" spans="1:8" x14ac:dyDescent="0.35">
      <c r="A97" s="5"/>
      <c r="B97" s="6"/>
      <c r="C97" s="6"/>
      <c r="D97" s="6"/>
      <c r="E97" s="5"/>
      <c r="F97" s="5"/>
      <c r="G97" s="5"/>
      <c r="H97" s="5"/>
    </row>
    <row r="98" spans="1:8" x14ac:dyDescent="0.35">
      <c r="A98" s="5"/>
      <c r="B98" s="6"/>
      <c r="C98" s="6"/>
      <c r="D98" s="6"/>
      <c r="E98" s="5"/>
      <c r="F98" s="5"/>
      <c r="G98" s="5"/>
      <c r="H98" s="5"/>
    </row>
    <row r="99" spans="1:8" x14ac:dyDescent="0.35">
      <c r="A99" s="5"/>
      <c r="B99" s="6"/>
      <c r="C99" s="6"/>
      <c r="D99" s="6"/>
      <c r="E99" s="5"/>
      <c r="F99" s="5"/>
      <c r="G99" s="5"/>
      <c r="H99" s="5"/>
    </row>
    <row r="100" spans="1:8" x14ac:dyDescent="0.35">
      <c r="A100" s="5"/>
      <c r="B100" s="6"/>
      <c r="C100" s="6"/>
      <c r="D100" s="6"/>
      <c r="E100" s="5"/>
      <c r="F100" s="5"/>
      <c r="G100" s="5"/>
      <c r="H100" s="5"/>
    </row>
    <row r="101" spans="1:8" x14ac:dyDescent="0.35">
      <c r="A101" s="5"/>
      <c r="B101" s="6"/>
      <c r="C101" s="6"/>
      <c r="D101" s="6"/>
      <c r="E101" s="5"/>
      <c r="F101" s="5"/>
      <c r="G101" s="5"/>
      <c r="H101" s="5"/>
    </row>
    <row r="102" spans="1:8" x14ac:dyDescent="0.35">
      <c r="A102" s="5"/>
      <c r="B102" s="6"/>
      <c r="C102" s="6"/>
      <c r="D102" s="6"/>
      <c r="E102" s="5"/>
      <c r="F102" s="5"/>
      <c r="G102" s="5"/>
      <c r="H102" s="5"/>
    </row>
    <row r="103" spans="1:8" x14ac:dyDescent="0.35">
      <c r="A103" s="5"/>
      <c r="B103" s="6"/>
      <c r="C103" s="6"/>
      <c r="D103" s="6"/>
      <c r="E103" s="5"/>
      <c r="F103" s="5"/>
      <c r="G103" s="5"/>
      <c r="H103" s="5"/>
    </row>
    <row r="104" spans="1:8" x14ac:dyDescent="0.35">
      <c r="A104" s="5"/>
      <c r="B104" s="6"/>
      <c r="C104" s="6"/>
      <c r="D104" s="6"/>
      <c r="E104" s="5"/>
      <c r="F104" s="5"/>
      <c r="G104" s="5"/>
      <c r="H104" s="5"/>
    </row>
    <row r="105" spans="1:8" x14ac:dyDescent="0.35">
      <c r="A105" s="5"/>
      <c r="B105" s="6"/>
      <c r="C105" s="6"/>
      <c r="D105" s="6"/>
      <c r="E105" s="5"/>
      <c r="F105" s="5"/>
      <c r="G105" s="5"/>
      <c r="H105" s="5"/>
    </row>
    <row r="106" spans="1:8" x14ac:dyDescent="0.35">
      <c r="A106" s="5"/>
      <c r="B106" s="6"/>
      <c r="C106" s="6"/>
      <c r="D106" s="6"/>
      <c r="E106" s="5"/>
      <c r="F106" s="5"/>
      <c r="G106" s="5"/>
      <c r="H106" s="5"/>
    </row>
    <row r="107" spans="1:8" x14ac:dyDescent="0.35">
      <c r="A107" s="5"/>
      <c r="B107" s="6"/>
      <c r="C107" s="6"/>
      <c r="D107" s="6"/>
      <c r="E107" s="5"/>
      <c r="F107" s="5"/>
      <c r="G107" s="5"/>
      <c r="H107" s="5"/>
    </row>
    <row r="108" spans="1:8" x14ac:dyDescent="0.35">
      <c r="A108" s="5"/>
      <c r="B108" s="6"/>
      <c r="C108" s="6"/>
      <c r="D108" s="6"/>
      <c r="E108" s="5"/>
      <c r="F108" s="5"/>
      <c r="G108" s="5"/>
      <c r="H108" s="5"/>
    </row>
    <row r="109" spans="1:8" x14ac:dyDescent="0.35">
      <c r="A109" s="5"/>
      <c r="B109" s="6"/>
      <c r="C109" s="6"/>
      <c r="D109" s="6"/>
      <c r="E109" s="5"/>
      <c r="F109" s="5"/>
      <c r="G109" s="5"/>
      <c r="H109" s="5"/>
    </row>
    <row r="110" spans="1:8" x14ac:dyDescent="0.35">
      <c r="A110" s="5"/>
      <c r="B110" s="6"/>
      <c r="C110" s="6"/>
      <c r="D110" s="6"/>
      <c r="E110" s="5"/>
      <c r="F110" s="5"/>
      <c r="G110" s="5"/>
      <c r="H110" s="5"/>
    </row>
    <row r="111" spans="1:8" x14ac:dyDescent="0.35">
      <c r="A111" s="5"/>
      <c r="B111" s="6"/>
      <c r="C111" s="6"/>
      <c r="D111" s="6"/>
      <c r="E111" s="5"/>
      <c r="F111" s="5"/>
      <c r="G111" s="5"/>
      <c r="H111" s="5"/>
    </row>
    <row r="112" spans="1:8" x14ac:dyDescent="0.35">
      <c r="A112" s="5"/>
      <c r="B112" s="6"/>
      <c r="C112" s="6"/>
      <c r="D112" s="6"/>
      <c r="E112" s="5"/>
      <c r="F112" s="5"/>
      <c r="G112" s="5"/>
      <c r="H112" s="5"/>
    </row>
    <row r="113" spans="1:8" x14ac:dyDescent="0.35">
      <c r="A113" s="5"/>
      <c r="B113" s="6"/>
      <c r="C113" s="6"/>
      <c r="D113" s="6"/>
      <c r="E113" s="5"/>
      <c r="F113" s="5"/>
      <c r="G113" s="5"/>
      <c r="H113" s="5"/>
    </row>
    <row r="114" spans="1:8" x14ac:dyDescent="0.35">
      <c r="A114" s="5"/>
      <c r="B114" s="6"/>
      <c r="C114" s="6"/>
      <c r="D114" s="6"/>
      <c r="E114" s="5"/>
      <c r="F114" s="5"/>
      <c r="G114" s="5"/>
      <c r="H114" s="5"/>
    </row>
    <row r="115" spans="1:8" x14ac:dyDescent="0.35">
      <c r="A115" s="5"/>
      <c r="B115" s="6"/>
      <c r="C115" s="6"/>
      <c r="D115" s="6"/>
      <c r="E115" s="5"/>
      <c r="F115" s="5"/>
      <c r="G115" s="5"/>
      <c r="H115" s="5"/>
    </row>
    <row r="116" spans="1:8" x14ac:dyDescent="0.35">
      <c r="A116" s="5"/>
      <c r="B116" s="6"/>
      <c r="C116" s="6"/>
      <c r="D116" s="6"/>
      <c r="E116" s="5"/>
      <c r="F116" s="5"/>
      <c r="G116" s="5"/>
      <c r="H116" s="5"/>
    </row>
    <row r="117" spans="1:8" x14ac:dyDescent="0.35">
      <c r="A117" s="5"/>
      <c r="B117" s="6"/>
      <c r="C117" s="6"/>
      <c r="D117" s="6"/>
      <c r="E117" s="5"/>
      <c r="F117" s="5"/>
      <c r="G117" s="5"/>
      <c r="H117" s="5"/>
    </row>
    <row r="118" spans="1:8" x14ac:dyDescent="0.35">
      <c r="A118" s="5"/>
      <c r="B118" s="6"/>
      <c r="C118" s="6"/>
      <c r="D118" s="6"/>
      <c r="E118" s="5"/>
      <c r="F118" s="5"/>
      <c r="G118" s="5"/>
      <c r="H118" s="5"/>
    </row>
    <row r="119" spans="1:8" x14ac:dyDescent="0.35">
      <c r="A119" s="5"/>
      <c r="B119" s="6"/>
      <c r="C119" s="6"/>
      <c r="D119" s="6"/>
      <c r="E119" s="5"/>
      <c r="F119" s="5"/>
      <c r="G119" s="5"/>
      <c r="H119" s="5"/>
    </row>
    <row r="120" spans="1:8" x14ac:dyDescent="0.35">
      <c r="A120" s="5"/>
      <c r="B120" s="6"/>
      <c r="C120" s="6"/>
      <c r="D120" s="6"/>
      <c r="E120" s="5"/>
      <c r="F120" s="5"/>
      <c r="G120" s="5"/>
      <c r="H120" s="5"/>
    </row>
    <row r="121" spans="1:8" x14ac:dyDescent="0.35">
      <c r="A121" s="5"/>
      <c r="B121" s="6"/>
      <c r="C121" s="6"/>
      <c r="D121" s="6"/>
      <c r="E121" s="5"/>
      <c r="F121" s="5"/>
      <c r="G121" s="5"/>
      <c r="H121" s="5"/>
    </row>
    <row r="122" spans="1:8" x14ac:dyDescent="0.35">
      <c r="A122" s="5"/>
      <c r="B122" s="6"/>
      <c r="C122" s="6"/>
      <c r="D122" s="6"/>
      <c r="E122" s="5"/>
      <c r="F122" s="5"/>
      <c r="G122" s="5"/>
      <c r="H122" s="5"/>
    </row>
    <row r="123" spans="1:8" x14ac:dyDescent="0.35">
      <c r="A123" s="5"/>
      <c r="B123" s="6"/>
      <c r="C123" s="6"/>
      <c r="D123" s="6"/>
      <c r="E123" s="5"/>
      <c r="F123" s="5"/>
      <c r="G123" s="5"/>
      <c r="H123" s="5"/>
    </row>
    <row r="124" spans="1:8" x14ac:dyDescent="0.35">
      <c r="A124" s="5"/>
      <c r="B124" s="6"/>
      <c r="C124" s="6"/>
      <c r="D124" s="6"/>
      <c r="E124" s="5"/>
      <c r="F124" s="5"/>
      <c r="G124" s="5"/>
      <c r="H124" s="5"/>
    </row>
    <row r="125" spans="1:8" x14ac:dyDescent="0.35">
      <c r="A125" s="5"/>
      <c r="B125" s="6"/>
      <c r="C125" s="6"/>
      <c r="D125" s="6"/>
      <c r="E125" s="5"/>
      <c r="F125" s="5"/>
      <c r="G125" s="5"/>
      <c r="H125" s="5"/>
    </row>
    <row r="126" spans="1:8" x14ac:dyDescent="0.35">
      <c r="A126" s="5"/>
      <c r="B126" s="6"/>
      <c r="C126" s="6"/>
      <c r="D126" s="6"/>
      <c r="E126" s="5"/>
      <c r="F126" s="5"/>
      <c r="G126" s="5"/>
      <c r="H126" s="5"/>
    </row>
    <row r="127" spans="1:8" x14ac:dyDescent="0.35">
      <c r="A127" s="5"/>
      <c r="B127" s="6"/>
      <c r="C127" s="6"/>
      <c r="D127" s="6"/>
      <c r="E127" s="5"/>
      <c r="F127" s="5"/>
      <c r="G127" s="5"/>
      <c r="H127" s="5"/>
    </row>
    <row r="128" spans="1:8" x14ac:dyDescent="0.35">
      <c r="A128" s="5"/>
      <c r="B128" s="6"/>
      <c r="C128" s="6"/>
      <c r="D128" s="6"/>
      <c r="E128" s="5"/>
      <c r="F128" s="5"/>
      <c r="G128" s="5"/>
      <c r="H128" s="5"/>
    </row>
    <row r="129" spans="1:8" x14ac:dyDescent="0.35">
      <c r="A129" s="5"/>
      <c r="B129" s="6"/>
      <c r="C129" s="6"/>
      <c r="D129" s="6"/>
      <c r="E129" s="5"/>
      <c r="F129" s="5"/>
      <c r="G129" s="5"/>
      <c r="H129" s="5"/>
    </row>
    <row r="130" spans="1:8" x14ac:dyDescent="0.35">
      <c r="A130" s="5"/>
      <c r="B130" s="6"/>
      <c r="C130" s="6"/>
      <c r="D130" s="6"/>
      <c r="E130" s="5"/>
      <c r="F130" s="5"/>
      <c r="G130" s="5"/>
      <c r="H130" s="5"/>
    </row>
    <row r="131" spans="1:8" x14ac:dyDescent="0.35">
      <c r="A131" s="5"/>
      <c r="B131" s="6"/>
      <c r="C131" s="6"/>
      <c r="D131" s="6"/>
      <c r="E131" s="5"/>
      <c r="F131" s="5"/>
      <c r="G131" s="5"/>
      <c r="H131" s="5"/>
    </row>
    <row r="132" spans="1:8" x14ac:dyDescent="0.35">
      <c r="A132" s="5"/>
      <c r="B132" s="6"/>
      <c r="C132" s="6"/>
      <c r="D132" s="6"/>
      <c r="E132" s="5"/>
      <c r="F132" s="5"/>
      <c r="G132" s="5"/>
      <c r="H132" s="5"/>
    </row>
    <row r="133" spans="1:8" x14ac:dyDescent="0.35">
      <c r="A133" s="5"/>
      <c r="B133" s="6"/>
      <c r="C133" s="6"/>
      <c r="D133" s="6"/>
      <c r="E133" s="5"/>
      <c r="F133" s="5"/>
      <c r="G133" s="5"/>
      <c r="H133" s="5"/>
    </row>
    <row r="134" spans="1:8" x14ac:dyDescent="0.35">
      <c r="A134" s="5"/>
      <c r="B134" s="6"/>
      <c r="C134" s="6"/>
      <c r="D134" s="6"/>
      <c r="E134" s="5"/>
      <c r="F134" s="5"/>
      <c r="G134" s="5"/>
      <c r="H134" s="5"/>
    </row>
    <row r="135" spans="1:8" x14ac:dyDescent="0.35">
      <c r="A135" s="5"/>
      <c r="B135" s="6"/>
      <c r="C135" s="6"/>
      <c r="D135" s="6"/>
      <c r="E135" s="5"/>
      <c r="F135" s="5"/>
      <c r="G135" s="5"/>
      <c r="H135" s="5"/>
    </row>
    <row r="136" spans="1:8" x14ac:dyDescent="0.35">
      <c r="A136" s="5"/>
      <c r="B136" s="6"/>
      <c r="C136" s="6"/>
      <c r="D136" s="6"/>
      <c r="E136" s="5"/>
      <c r="F136" s="5"/>
      <c r="G136" s="5"/>
      <c r="H136" s="5"/>
    </row>
    <row r="137" spans="1:8" x14ac:dyDescent="0.35">
      <c r="A137" s="5"/>
      <c r="B137" s="6"/>
      <c r="C137" s="6"/>
      <c r="D137" s="6"/>
      <c r="E137" s="5"/>
      <c r="F137" s="5"/>
      <c r="G137" s="5"/>
      <c r="H137" s="5"/>
    </row>
    <row r="138" spans="1:8" x14ac:dyDescent="0.35">
      <c r="A138" s="5"/>
      <c r="B138" s="6"/>
      <c r="C138" s="6"/>
      <c r="D138" s="6"/>
      <c r="E138" s="5"/>
      <c r="F138" s="5"/>
      <c r="G138" s="5"/>
      <c r="H138" s="5"/>
    </row>
    <row r="139" spans="1:8" x14ac:dyDescent="0.35">
      <c r="A139" s="5"/>
      <c r="B139" s="6"/>
      <c r="C139" s="6"/>
      <c r="D139" s="6"/>
      <c r="E139" s="5"/>
      <c r="F139" s="5"/>
      <c r="G139" s="5"/>
      <c r="H139" s="5"/>
    </row>
    <row r="140" spans="1:8" x14ac:dyDescent="0.35">
      <c r="A140" s="5"/>
      <c r="B140" s="6"/>
      <c r="C140" s="6"/>
      <c r="D140" s="6"/>
      <c r="E140" s="5"/>
      <c r="F140" s="5"/>
      <c r="G140" s="5"/>
      <c r="H140" s="5"/>
    </row>
    <row r="141" spans="1:8" x14ac:dyDescent="0.35">
      <c r="A141" s="5"/>
      <c r="B141" s="6"/>
      <c r="C141" s="6"/>
      <c r="D141" s="6"/>
      <c r="E141" s="5"/>
      <c r="F141" s="5"/>
      <c r="G141" s="5"/>
      <c r="H141" s="5"/>
    </row>
    <row r="142" spans="1:8" x14ac:dyDescent="0.35">
      <c r="A142" s="5"/>
      <c r="B142" s="6"/>
      <c r="C142" s="6"/>
      <c r="D142" s="6"/>
      <c r="E142" s="5"/>
      <c r="F142" s="5"/>
      <c r="G142" s="5"/>
      <c r="H142" s="5"/>
    </row>
    <row r="143" spans="1:8" x14ac:dyDescent="0.35">
      <c r="A143" s="5"/>
      <c r="B143" s="6"/>
      <c r="C143" s="6"/>
      <c r="D143" s="6"/>
      <c r="E143" s="5"/>
      <c r="F143" s="5"/>
      <c r="G143" s="5"/>
      <c r="H143" s="5"/>
    </row>
    <row r="144" spans="1:8" x14ac:dyDescent="0.35">
      <c r="A144" s="5"/>
      <c r="B144" s="6"/>
      <c r="C144" s="6"/>
      <c r="D144" s="6"/>
      <c r="E144" s="5"/>
      <c r="F144" s="5"/>
      <c r="G144" s="5"/>
      <c r="H144" s="5"/>
    </row>
    <row r="145" spans="1:8" x14ac:dyDescent="0.35">
      <c r="A145" s="5"/>
      <c r="B145" s="6"/>
      <c r="C145" s="6"/>
      <c r="D145" s="6"/>
      <c r="E145" s="5"/>
      <c r="F145" s="5"/>
      <c r="G145" s="5"/>
      <c r="H145" s="5"/>
    </row>
    <row r="146" spans="1:8" x14ac:dyDescent="0.35">
      <c r="A146" s="5"/>
      <c r="B146" s="6"/>
      <c r="C146" s="6"/>
      <c r="D146" s="6"/>
      <c r="E146" s="5"/>
      <c r="F146" s="5"/>
      <c r="G146" s="5"/>
      <c r="H146" s="5"/>
    </row>
    <row r="147" spans="1:8" x14ac:dyDescent="0.35">
      <c r="A147" s="5"/>
      <c r="B147" s="6"/>
      <c r="C147" s="6"/>
      <c r="D147" s="6"/>
      <c r="E147" s="5"/>
      <c r="F147" s="5"/>
      <c r="G147" s="5"/>
      <c r="H147" s="5"/>
    </row>
    <row r="148" spans="1:8" x14ac:dyDescent="0.35">
      <c r="A148" s="5"/>
      <c r="B148" s="6"/>
      <c r="C148" s="6"/>
      <c r="D148" s="6"/>
      <c r="E148" s="5"/>
      <c r="F148" s="5"/>
      <c r="G148" s="5"/>
      <c r="H148" s="5"/>
    </row>
    <row r="149" spans="1:8" x14ac:dyDescent="0.35">
      <c r="A149" s="5"/>
      <c r="B149" s="6"/>
      <c r="C149" s="6"/>
      <c r="D149" s="6"/>
      <c r="E149" s="5"/>
      <c r="F149" s="5"/>
      <c r="G149" s="5"/>
      <c r="H149" s="5"/>
    </row>
    <row r="150" spans="1:8" x14ac:dyDescent="0.35">
      <c r="A150" s="5"/>
      <c r="B150" s="6"/>
      <c r="C150" s="6"/>
      <c r="D150" s="6"/>
      <c r="E150" s="5"/>
      <c r="F150" s="5"/>
      <c r="G150" s="5"/>
      <c r="H150" s="5"/>
    </row>
    <row r="151" spans="1:8" x14ac:dyDescent="0.35">
      <c r="A151" s="5"/>
      <c r="B151" s="6"/>
      <c r="C151" s="6"/>
      <c r="D151" s="6"/>
      <c r="E151" s="5"/>
      <c r="F151" s="5"/>
      <c r="G151" s="5"/>
      <c r="H151" s="5"/>
    </row>
    <row r="152" spans="1:8" x14ac:dyDescent="0.35">
      <c r="A152" s="5"/>
      <c r="B152" s="6"/>
      <c r="C152" s="6"/>
      <c r="D152" s="6"/>
      <c r="E152" s="5"/>
      <c r="F152" s="5"/>
      <c r="G152" s="5"/>
      <c r="H152" s="5"/>
    </row>
    <row r="153" spans="1:8" x14ac:dyDescent="0.35">
      <c r="A153" s="5"/>
      <c r="B153" s="6"/>
      <c r="C153" s="6"/>
      <c r="D153" s="6"/>
      <c r="E153" s="5"/>
      <c r="F153" s="5"/>
      <c r="G153" s="5"/>
      <c r="H153" s="5"/>
    </row>
    <row r="154" spans="1:8" x14ac:dyDescent="0.35">
      <c r="A154" s="5"/>
      <c r="B154" s="6"/>
      <c r="C154" s="6"/>
      <c r="D154" s="6"/>
      <c r="E154" s="5"/>
      <c r="F154" s="5"/>
      <c r="G154" s="5"/>
      <c r="H154" s="5"/>
    </row>
    <row r="155" spans="1:8" x14ac:dyDescent="0.35">
      <c r="A155" s="5"/>
      <c r="B155" s="6"/>
      <c r="C155" s="6"/>
      <c r="D155" s="6"/>
      <c r="E155" s="5"/>
      <c r="F155" s="5"/>
      <c r="G155" s="5"/>
      <c r="H155" s="5"/>
    </row>
    <row r="156" spans="1:8" x14ac:dyDescent="0.35">
      <c r="A156" s="5"/>
      <c r="B156" s="6"/>
      <c r="C156" s="6"/>
      <c r="D156" s="6"/>
      <c r="E156" s="5"/>
      <c r="F156" s="5"/>
      <c r="G156" s="5"/>
      <c r="H156" s="5"/>
    </row>
    <row r="157" spans="1:8" x14ac:dyDescent="0.35">
      <c r="A157" s="5"/>
      <c r="B157" s="6"/>
      <c r="C157" s="6"/>
      <c r="D157" s="6"/>
      <c r="E157" s="5"/>
      <c r="F157" s="5"/>
      <c r="G157" s="5"/>
      <c r="H157" s="5"/>
    </row>
    <row r="158" spans="1:8" x14ac:dyDescent="0.35">
      <c r="A158" s="5"/>
      <c r="B158" s="6"/>
      <c r="C158" s="6"/>
      <c r="D158" s="6"/>
      <c r="E158" s="5"/>
      <c r="F158" s="5"/>
      <c r="G158" s="5"/>
      <c r="H158" s="5"/>
    </row>
    <row r="159" spans="1:8" x14ac:dyDescent="0.35">
      <c r="A159" s="5"/>
      <c r="B159" s="6"/>
      <c r="C159" s="6"/>
      <c r="D159" s="6"/>
      <c r="E159" s="5"/>
      <c r="F159" s="5"/>
      <c r="G159" s="5"/>
      <c r="H159" s="5"/>
    </row>
    <row r="160" spans="1:8" x14ac:dyDescent="0.35">
      <c r="A160" s="5"/>
      <c r="B160" s="6"/>
      <c r="C160" s="6"/>
      <c r="D160" s="6"/>
      <c r="E160" s="5"/>
      <c r="F160" s="5"/>
      <c r="G160" s="5"/>
      <c r="H160" s="5"/>
    </row>
    <row r="161" spans="1:8" x14ac:dyDescent="0.35">
      <c r="A161" s="5"/>
      <c r="B161" s="6"/>
      <c r="C161" s="6"/>
      <c r="D161" s="6"/>
      <c r="E161" s="5"/>
      <c r="F161" s="5"/>
      <c r="G161" s="5"/>
      <c r="H161" s="5"/>
    </row>
    <row r="162" spans="1:8" x14ac:dyDescent="0.35">
      <c r="A162" s="5"/>
      <c r="B162" s="6"/>
      <c r="C162" s="6"/>
      <c r="D162" s="6"/>
      <c r="E162" s="5"/>
      <c r="F162" s="5"/>
      <c r="G162" s="5"/>
      <c r="H162" s="5"/>
    </row>
    <row r="163" spans="1:8" x14ac:dyDescent="0.35">
      <c r="A163" s="5"/>
      <c r="B163" s="6"/>
      <c r="C163" s="6"/>
      <c r="D163" s="6"/>
      <c r="E163" s="5"/>
      <c r="F163" s="5"/>
      <c r="G163" s="5"/>
      <c r="H163" s="5"/>
    </row>
    <row r="164" spans="1:8" x14ac:dyDescent="0.35">
      <c r="A164" s="5"/>
      <c r="B164" s="6"/>
      <c r="C164" s="6"/>
      <c r="D164" s="6"/>
      <c r="E164" s="5"/>
      <c r="F164" s="5"/>
      <c r="G164" s="5"/>
      <c r="H164" s="5"/>
    </row>
    <row r="165" spans="1:8" x14ac:dyDescent="0.35">
      <c r="A165" s="5"/>
      <c r="B165" s="6"/>
      <c r="C165" s="6"/>
      <c r="D165" s="6"/>
      <c r="E165" s="5"/>
      <c r="F165" s="5"/>
      <c r="G165" s="5"/>
      <c r="H165" s="5"/>
    </row>
    <row r="166" spans="1:8" x14ac:dyDescent="0.35">
      <c r="A166" s="5"/>
      <c r="B166" s="6"/>
      <c r="C166" s="6"/>
      <c r="D166" s="6"/>
      <c r="E166" s="5"/>
      <c r="F166" s="5"/>
      <c r="G166" s="5"/>
      <c r="H166" s="5"/>
    </row>
    <row r="167" spans="1:8" x14ac:dyDescent="0.35">
      <c r="A167" s="5"/>
      <c r="B167" s="6"/>
      <c r="C167" s="6"/>
      <c r="D167" s="6"/>
      <c r="E167" s="5"/>
      <c r="F167" s="5"/>
      <c r="G167" s="5"/>
      <c r="H167" s="5"/>
    </row>
    <row r="168" spans="1:8" x14ac:dyDescent="0.35">
      <c r="A168" s="5"/>
      <c r="B168" s="6"/>
      <c r="C168" s="6"/>
      <c r="D168" s="6"/>
      <c r="E168" s="5"/>
      <c r="F168" s="5"/>
      <c r="G168" s="5"/>
      <c r="H168" s="5"/>
    </row>
    <row r="169" spans="1:8" x14ac:dyDescent="0.35">
      <c r="A169" s="5"/>
      <c r="B169" s="6"/>
      <c r="C169" s="6"/>
      <c r="D169" s="6"/>
      <c r="E169" s="5"/>
      <c r="F169" s="5"/>
      <c r="G169" s="5"/>
      <c r="H169" s="5"/>
    </row>
    <row r="170" spans="1:8" x14ac:dyDescent="0.35">
      <c r="A170" s="5"/>
      <c r="B170" s="6"/>
      <c r="C170" s="6"/>
      <c r="D170" s="6"/>
      <c r="E170" s="5"/>
      <c r="F170" s="5"/>
      <c r="G170" s="5"/>
      <c r="H170" s="5"/>
    </row>
    <row r="171" spans="1:8" x14ac:dyDescent="0.35">
      <c r="A171" s="5"/>
      <c r="B171" s="6"/>
      <c r="C171" s="6"/>
      <c r="D171" s="6"/>
      <c r="E171" s="5"/>
      <c r="F171" s="5"/>
      <c r="G171" s="5"/>
      <c r="H171" s="5"/>
    </row>
    <row r="172" spans="1:8" x14ac:dyDescent="0.35">
      <c r="A172" s="5"/>
      <c r="B172" s="6"/>
      <c r="C172" s="6"/>
      <c r="D172" s="6"/>
      <c r="E172" s="5"/>
      <c r="F172" s="5"/>
      <c r="G172" s="5"/>
      <c r="H172" s="5"/>
    </row>
    <row r="173" spans="1:8" x14ac:dyDescent="0.35">
      <c r="A173" s="5"/>
      <c r="B173" s="6"/>
      <c r="C173" s="6"/>
      <c r="D173" s="6"/>
      <c r="E173" s="5"/>
      <c r="F173" s="5"/>
      <c r="G173" s="5"/>
      <c r="H173" s="5"/>
    </row>
    <row r="174" spans="1:8" x14ac:dyDescent="0.35">
      <c r="A174" s="5"/>
      <c r="B174" s="6"/>
      <c r="C174" s="6"/>
      <c r="D174" s="6"/>
      <c r="E174" s="5"/>
      <c r="F174" s="5"/>
      <c r="G174" s="5"/>
      <c r="H174" s="5"/>
    </row>
    <row r="175" spans="1:8" x14ac:dyDescent="0.35">
      <c r="A175" s="5"/>
      <c r="B175" s="6"/>
      <c r="C175" s="6"/>
      <c r="D175" s="6"/>
      <c r="E175" s="5"/>
      <c r="F175" s="5"/>
      <c r="G175" s="5"/>
      <c r="H175" s="5"/>
    </row>
    <row r="176" spans="1:8" x14ac:dyDescent="0.35">
      <c r="A176" s="5"/>
      <c r="B176" s="6"/>
      <c r="C176" s="6"/>
      <c r="D176" s="6"/>
      <c r="E176" s="5"/>
      <c r="F176" s="5"/>
      <c r="G176" s="5"/>
      <c r="H176" s="5"/>
    </row>
    <row r="177" spans="1:8" x14ac:dyDescent="0.35">
      <c r="A177" s="5"/>
      <c r="B177" s="6"/>
      <c r="C177" s="6"/>
      <c r="D177" s="6"/>
      <c r="E177" s="5"/>
      <c r="F177" s="5"/>
      <c r="G177" s="5"/>
      <c r="H177" s="5"/>
    </row>
    <row r="178" spans="1:8" x14ac:dyDescent="0.35">
      <c r="A178" s="5"/>
      <c r="B178" s="6"/>
      <c r="C178" s="6"/>
      <c r="D178" s="6"/>
      <c r="E178" s="5"/>
      <c r="F178" s="5"/>
      <c r="G178" s="5"/>
      <c r="H178" s="5"/>
    </row>
    <row r="179" spans="1:8" x14ac:dyDescent="0.35">
      <c r="A179" s="5"/>
      <c r="B179" s="6"/>
      <c r="C179" s="6"/>
      <c r="D179" s="6"/>
      <c r="E179" s="5"/>
      <c r="F179" s="5"/>
      <c r="G179" s="5"/>
      <c r="H179" s="5"/>
    </row>
    <row r="180" spans="1:8" x14ac:dyDescent="0.35">
      <c r="A180" s="5"/>
      <c r="B180" s="6"/>
      <c r="C180" s="6"/>
      <c r="D180" s="6"/>
      <c r="E180" s="5"/>
      <c r="F180" s="5"/>
      <c r="G180" s="5"/>
      <c r="H180" s="5"/>
    </row>
    <row r="181" spans="1:8" x14ac:dyDescent="0.35">
      <c r="A181" s="5"/>
      <c r="B181" s="6"/>
      <c r="C181" s="6"/>
      <c r="D181" s="6"/>
      <c r="E181" s="5"/>
      <c r="F181" s="5"/>
      <c r="G181" s="5"/>
      <c r="H181" s="5"/>
    </row>
    <row r="182" spans="1:8" x14ac:dyDescent="0.35">
      <c r="A182" s="5"/>
      <c r="B182" s="6"/>
      <c r="C182" s="6"/>
      <c r="D182" s="6"/>
      <c r="E182" s="5"/>
      <c r="F182" s="5"/>
      <c r="G182" s="5"/>
      <c r="H182" s="5"/>
    </row>
    <row r="183" spans="1:8" x14ac:dyDescent="0.35">
      <c r="A183" s="5"/>
      <c r="B183" s="6"/>
      <c r="C183" s="6"/>
      <c r="D183" s="6"/>
      <c r="E183" s="5"/>
      <c r="F183" s="5"/>
      <c r="G183" s="5"/>
      <c r="H183" s="5"/>
    </row>
    <row r="184" spans="1:8" x14ac:dyDescent="0.35">
      <c r="A184" s="5"/>
      <c r="B184" s="6"/>
      <c r="C184" s="6"/>
      <c r="D184" s="6"/>
      <c r="E184" s="5"/>
      <c r="F184" s="5"/>
      <c r="G184" s="5"/>
      <c r="H184" s="5"/>
    </row>
    <row r="185" spans="1:8" x14ac:dyDescent="0.35">
      <c r="A185" s="5"/>
      <c r="B185" s="6"/>
      <c r="C185" s="6"/>
      <c r="D185" s="6"/>
      <c r="E185" s="5"/>
      <c r="F185" s="5"/>
      <c r="G185" s="5"/>
      <c r="H185" s="5"/>
    </row>
    <row r="186" spans="1:8" x14ac:dyDescent="0.35">
      <c r="A186" s="5"/>
      <c r="B186" s="6"/>
      <c r="C186" s="6"/>
      <c r="D186" s="6"/>
      <c r="E186" s="5"/>
      <c r="F186" s="5"/>
      <c r="G186" s="5"/>
      <c r="H186" s="5"/>
    </row>
    <row r="187" spans="1:8" x14ac:dyDescent="0.35">
      <c r="A187" s="5"/>
      <c r="B187" s="6"/>
      <c r="C187" s="6"/>
      <c r="D187" s="6"/>
      <c r="E187" s="5"/>
      <c r="F187" s="5"/>
      <c r="G187" s="5"/>
      <c r="H187" s="5"/>
    </row>
    <row r="188" spans="1:8" x14ac:dyDescent="0.35">
      <c r="A188" s="5"/>
      <c r="B188" s="6"/>
      <c r="C188" s="6"/>
      <c r="D188" s="6"/>
      <c r="E188" s="5"/>
      <c r="F188" s="5"/>
      <c r="G188" s="5"/>
      <c r="H188" s="5"/>
    </row>
    <row r="189" spans="1:8" x14ac:dyDescent="0.35">
      <c r="A189" s="5"/>
      <c r="B189" s="6"/>
      <c r="C189" s="6"/>
      <c r="D189" s="6"/>
      <c r="E189" s="5"/>
      <c r="F189" s="5"/>
      <c r="G189" s="5"/>
      <c r="H189" s="5"/>
    </row>
    <row r="190" spans="1:8" x14ac:dyDescent="0.35">
      <c r="A190" s="5"/>
      <c r="B190" s="6"/>
      <c r="C190" s="6"/>
      <c r="D190" s="6"/>
      <c r="E190" s="5"/>
      <c r="F190" s="5"/>
      <c r="G190" s="5"/>
      <c r="H190" s="5"/>
    </row>
    <row r="191" spans="1:8" x14ac:dyDescent="0.35">
      <c r="A191" s="5"/>
      <c r="B191" s="6"/>
      <c r="C191" s="6"/>
      <c r="D191" s="6"/>
      <c r="E191" s="5"/>
      <c r="F191" s="5"/>
      <c r="G191" s="5"/>
      <c r="H191" s="5"/>
    </row>
    <row r="192" spans="1:8" x14ac:dyDescent="0.35">
      <c r="A192" s="5"/>
      <c r="B192" s="6"/>
      <c r="C192" s="6"/>
      <c r="D192" s="6"/>
      <c r="E192" s="5"/>
      <c r="F192" s="5"/>
      <c r="G192" s="5"/>
      <c r="H192" s="5"/>
    </row>
    <row r="193" spans="1:8" x14ac:dyDescent="0.35">
      <c r="A193" s="5"/>
      <c r="B193" s="6"/>
      <c r="C193" s="6"/>
      <c r="D193" s="6"/>
      <c r="E193" s="5"/>
      <c r="F193" s="5"/>
      <c r="G193" s="5"/>
      <c r="H193" s="5"/>
    </row>
    <row r="194" spans="1:8" x14ac:dyDescent="0.35">
      <c r="A194" s="5"/>
      <c r="B194" s="6"/>
      <c r="C194" s="6"/>
      <c r="D194" s="6"/>
      <c r="E194" s="5"/>
      <c r="F194" s="5"/>
      <c r="G194" s="5"/>
      <c r="H194" s="5"/>
    </row>
    <row r="195" spans="1:8" x14ac:dyDescent="0.35">
      <c r="A195" s="5"/>
      <c r="B195" s="6"/>
      <c r="C195" s="6"/>
      <c r="D195" s="6"/>
      <c r="E195" s="5"/>
      <c r="F195" s="5"/>
      <c r="G195" s="5"/>
      <c r="H195" s="5"/>
    </row>
    <row r="196" spans="1:8" x14ac:dyDescent="0.35">
      <c r="A196" s="5"/>
      <c r="B196" s="6"/>
      <c r="C196" s="6"/>
      <c r="D196" s="6"/>
      <c r="E196" s="5"/>
      <c r="F196" s="5"/>
      <c r="G196" s="5"/>
      <c r="H196" s="5"/>
    </row>
    <row r="197" spans="1:8" x14ac:dyDescent="0.35">
      <c r="A197" s="5"/>
      <c r="B197" s="6"/>
      <c r="C197" s="6"/>
      <c r="D197" s="6"/>
      <c r="E197" s="5"/>
      <c r="F197" s="5"/>
      <c r="G197" s="5"/>
      <c r="H197" s="5"/>
    </row>
    <row r="198" spans="1:8" x14ac:dyDescent="0.35">
      <c r="A198" s="5"/>
      <c r="B198" s="6"/>
      <c r="C198" s="6"/>
      <c r="D198" s="6"/>
      <c r="E198" s="5"/>
      <c r="F198" s="5"/>
      <c r="G198" s="5"/>
      <c r="H198" s="5"/>
    </row>
    <row r="199" spans="1:8" x14ac:dyDescent="0.35">
      <c r="A199" s="5"/>
      <c r="B199" s="6"/>
      <c r="C199" s="6"/>
      <c r="D199" s="6"/>
      <c r="E199" s="5"/>
      <c r="F199" s="5"/>
      <c r="G199" s="5"/>
      <c r="H199" s="5"/>
    </row>
    <row r="200" spans="1:8" x14ac:dyDescent="0.35">
      <c r="A200" s="5"/>
      <c r="B200" s="6"/>
      <c r="C200" s="6"/>
      <c r="D200" s="6"/>
      <c r="E200" s="5"/>
      <c r="F200" s="5"/>
      <c r="G200" s="5"/>
      <c r="H200" s="5"/>
    </row>
    <row r="201" spans="1:8" x14ac:dyDescent="0.35">
      <c r="A201" s="5"/>
      <c r="B201" s="6"/>
      <c r="C201" s="6"/>
      <c r="D201" s="6"/>
      <c r="E201" s="5"/>
      <c r="F201" s="5"/>
      <c r="G201" s="5"/>
      <c r="H201" s="5"/>
    </row>
    <row r="202" spans="1:8" x14ac:dyDescent="0.35">
      <c r="A202" s="5"/>
      <c r="B202" s="6"/>
      <c r="C202" s="6"/>
      <c r="D202" s="6"/>
      <c r="E202" s="5"/>
      <c r="F202" s="5"/>
      <c r="G202" s="5"/>
      <c r="H202" s="5"/>
    </row>
    <row r="203" spans="1:8" x14ac:dyDescent="0.35">
      <c r="A203" s="5"/>
      <c r="B203" s="6"/>
      <c r="C203" s="6"/>
      <c r="D203" s="6"/>
      <c r="E203" s="5"/>
      <c r="F203" s="5"/>
      <c r="G203" s="5"/>
      <c r="H203" s="5"/>
    </row>
    <row r="204" spans="1:8" x14ac:dyDescent="0.35">
      <c r="A204" s="5"/>
      <c r="B204" s="6"/>
      <c r="C204" s="6"/>
      <c r="D204" s="6"/>
      <c r="E204" s="5"/>
      <c r="F204" s="5"/>
      <c r="G204" s="5"/>
      <c r="H204" s="5"/>
    </row>
    <row r="205" spans="1:8" x14ac:dyDescent="0.35">
      <c r="A205" s="5"/>
      <c r="B205" s="6"/>
      <c r="C205" s="6"/>
      <c r="D205" s="6"/>
      <c r="E205" s="5"/>
      <c r="F205" s="5"/>
      <c r="G205" s="5"/>
      <c r="H205" s="5"/>
    </row>
    <row r="206" spans="1:8" x14ac:dyDescent="0.35">
      <c r="A206" s="5"/>
      <c r="B206" s="6"/>
      <c r="C206" s="6"/>
      <c r="D206" s="6"/>
      <c r="E206" s="5"/>
      <c r="F206" s="5"/>
      <c r="G206" s="5"/>
      <c r="H206" s="5"/>
    </row>
    <row r="207" spans="1:8" x14ac:dyDescent="0.35">
      <c r="A207" s="5"/>
      <c r="B207" s="6"/>
      <c r="C207" s="6"/>
      <c r="D207" s="6"/>
      <c r="E207" s="5"/>
      <c r="F207" s="5"/>
      <c r="G207" s="5"/>
      <c r="H207" s="5"/>
    </row>
    <row r="208" spans="1:8" x14ac:dyDescent="0.35">
      <c r="A208" s="5"/>
      <c r="B208" s="6"/>
      <c r="C208" s="6"/>
      <c r="D208" s="6"/>
      <c r="E208" s="5"/>
      <c r="F208" s="5"/>
      <c r="G208" s="5"/>
      <c r="H208" s="5"/>
    </row>
    <row r="209" spans="1:8" x14ac:dyDescent="0.35">
      <c r="A209" s="5"/>
      <c r="B209" s="6"/>
      <c r="C209" s="6"/>
      <c r="D209" s="6"/>
      <c r="E209" s="5"/>
      <c r="F209" s="5"/>
      <c r="G209" s="5"/>
      <c r="H209" s="5"/>
    </row>
    <row r="210" spans="1:8" x14ac:dyDescent="0.35">
      <c r="A210" s="5"/>
      <c r="B210" s="6"/>
      <c r="C210" s="6"/>
      <c r="D210" s="6"/>
      <c r="E210" s="5"/>
      <c r="F210" s="5"/>
      <c r="G210" s="5"/>
      <c r="H210" s="5"/>
    </row>
    <row r="211" spans="1:8" x14ac:dyDescent="0.35">
      <c r="A211" s="5"/>
      <c r="B211" s="6"/>
      <c r="C211" s="6"/>
      <c r="D211" s="6"/>
      <c r="E211" s="5"/>
      <c r="F211" s="5"/>
      <c r="G211" s="5"/>
      <c r="H211" s="5"/>
    </row>
    <row r="212" spans="1:8" x14ac:dyDescent="0.35">
      <c r="A212" s="5"/>
      <c r="B212" s="6"/>
      <c r="C212" s="6"/>
      <c r="D212" s="6"/>
      <c r="E212" s="5"/>
      <c r="F212" s="5"/>
      <c r="G212" s="5"/>
      <c r="H212" s="5"/>
    </row>
    <row r="213" spans="1:8" x14ac:dyDescent="0.35">
      <c r="A213" s="5"/>
      <c r="B213" s="6"/>
      <c r="C213" s="6"/>
      <c r="D213" s="6"/>
      <c r="E213" s="5"/>
      <c r="F213" s="5"/>
      <c r="G213" s="5"/>
      <c r="H213" s="5"/>
    </row>
    <row r="214" spans="1:8" x14ac:dyDescent="0.35">
      <c r="A214" s="5"/>
      <c r="B214" s="6"/>
      <c r="C214" s="6"/>
      <c r="D214" s="6"/>
      <c r="E214" s="5"/>
      <c r="F214" s="5"/>
      <c r="G214" s="5"/>
      <c r="H214" s="5"/>
    </row>
    <row r="215" spans="1:8" x14ac:dyDescent="0.35">
      <c r="A215" s="5"/>
      <c r="B215" s="6"/>
      <c r="C215" s="6"/>
      <c r="D215" s="6"/>
      <c r="E215" s="5"/>
      <c r="F215" s="5"/>
      <c r="G215" s="5"/>
      <c r="H215" s="5"/>
    </row>
    <row r="216" spans="1:8" x14ac:dyDescent="0.35">
      <c r="A216" s="5"/>
      <c r="B216" s="6"/>
      <c r="C216" s="6"/>
      <c r="D216" s="6"/>
      <c r="E216" s="5"/>
      <c r="F216" s="5"/>
      <c r="G216" s="5"/>
      <c r="H216" s="5"/>
    </row>
    <row r="217" spans="1:8" x14ac:dyDescent="0.35">
      <c r="A217" s="5"/>
      <c r="B217" s="6"/>
      <c r="C217" s="6"/>
      <c r="D217" s="6"/>
      <c r="E217" s="5"/>
      <c r="F217" s="5"/>
      <c r="G217" s="5"/>
      <c r="H217" s="5"/>
    </row>
    <row r="218" spans="1:8" x14ac:dyDescent="0.35">
      <c r="A218" s="5"/>
      <c r="B218" s="6"/>
      <c r="C218" s="6"/>
      <c r="D218" s="6"/>
      <c r="E218" s="5"/>
      <c r="F218" s="5"/>
      <c r="G218" s="5"/>
      <c r="H218" s="5"/>
    </row>
    <row r="219" spans="1:8" x14ac:dyDescent="0.35">
      <c r="A219" s="5"/>
      <c r="B219" s="6"/>
      <c r="C219" s="6"/>
      <c r="D219" s="6"/>
      <c r="E219" s="5"/>
      <c r="F219" s="5"/>
      <c r="G219" s="5"/>
      <c r="H219" s="5"/>
    </row>
    <row r="220" spans="1:8" x14ac:dyDescent="0.35">
      <c r="A220" s="5"/>
      <c r="B220" s="6"/>
      <c r="C220" s="6"/>
      <c r="D220" s="6"/>
      <c r="E220" s="5"/>
      <c r="F220" s="5"/>
      <c r="G220" s="5"/>
      <c r="H220" s="5"/>
    </row>
    <row r="221" spans="1:8" x14ac:dyDescent="0.35">
      <c r="A221" s="5"/>
      <c r="B221" s="6"/>
      <c r="C221" s="6"/>
      <c r="D221" s="6"/>
      <c r="E221" s="5"/>
      <c r="F221" s="5"/>
      <c r="G221" s="5"/>
      <c r="H221" s="5"/>
    </row>
    <row r="222" spans="1:8" x14ac:dyDescent="0.35">
      <c r="A222" s="5"/>
      <c r="B222" s="6"/>
      <c r="C222" s="6"/>
      <c r="D222" s="6"/>
      <c r="E222" s="5"/>
      <c r="F222" s="5"/>
      <c r="G222" s="5"/>
      <c r="H222" s="5"/>
    </row>
    <row r="223" spans="1:8" x14ac:dyDescent="0.35">
      <c r="A223" s="5"/>
      <c r="B223" s="6"/>
      <c r="C223" s="6"/>
      <c r="D223" s="6"/>
      <c r="E223" s="5"/>
      <c r="F223" s="5"/>
      <c r="G223" s="5"/>
      <c r="H223" s="5"/>
    </row>
    <row r="224" spans="1:8" x14ac:dyDescent="0.35">
      <c r="A224" s="5"/>
      <c r="B224" s="6"/>
      <c r="C224" s="6"/>
      <c r="D224" s="6"/>
      <c r="E224" s="5"/>
      <c r="F224" s="5"/>
      <c r="G224" s="5"/>
      <c r="H224" s="5"/>
    </row>
    <row r="225" spans="1:8" x14ac:dyDescent="0.35">
      <c r="A225" s="5"/>
      <c r="B225" s="6"/>
      <c r="C225" s="6"/>
      <c r="D225" s="6"/>
      <c r="E225" s="5"/>
      <c r="F225" s="5"/>
      <c r="G225" s="5"/>
      <c r="H225" s="5"/>
    </row>
    <row r="226" spans="1:8" x14ac:dyDescent="0.35">
      <c r="A226" s="5"/>
      <c r="B226" s="6"/>
      <c r="C226" s="6"/>
      <c r="D226" s="6"/>
      <c r="E226" s="5"/>
      <c r="F226" s="5"/>
      <c r="G226" s="5"/>
      <c r="H226" s="5"/>
    </row>
    <row r="227" spans="1:8" x14ac:dyDescent="0.35">
      <c r="A227" s="5"/>
      <c r="B227" s="6"/>
      <c r="C227" s="6"/>
      <c r="D227" s="6"/>
      <c r="E227" s="5"/>
      <c r="F227" s="5"/>
      <c r="G227" s="5"/>
      <c r="H227" s="5"/>
    </row>
    <row r="228" spans="1:8" x14ac:dyDescent="0.35">
      <c r="A228" s="5"/>
      <c r="B228" s="6"/>
      <c r="C228" s="6"/>
      <c r="D228" s="6"/>
      <c r="E228" s="5"/>
      <c r="F228" s="5"/>
      <c r="G228" s="5"/>
      <c r="H228" s="5"/>
    </row>
    <row r="229" spans="1:8" x14ac:dyDescent="0.35">
      <c r="A229" s="5"/>
      <c r="B229" s="6"/>
      <c r="C229" s="6"/>
      <c r="D229" s="6"/>
      <c r="E229" s="5"/>
      <c r="F229" s="5"/>
      <c r="G229" s="5"/>
      <c r="H229" s="5"/>
    </row>
    <row r="230" spans="1:8" x14ac:dyDescent="0.35">
      <c r="A230" s="5"/>
      <c r="B230" s="6"/>
      <c r="C230" s="6"/>
      <c r="D230" s="6"/>
      <c r="E230" s="5"/>
      <c r="F230" s="5"/>
      <c r="G230" s="5"/>
      <c r="H230" s="5"/>
    </row>
    <row r="231" spans="1:8" x14ac:dyDescent="0.35">
      <c r="A231" s="5"/>
      <c r="B231" s="6"/>
      <c r="C231" s="6"/>
      <c r="D231" s="6"/>
      <c r="E231" s="5"/>
      <c r="F231" s="5"/>
      <c r="G231" s="5"/>
      <c r="H231" s="5"/>
    </row>
    <row r="232" spans="1:8" x14ac:dyDescent="0.35">
      <c r="A232" s="5"/>
      <c r="B232" s="6"/>
      <c r="C232" s="6"/>
      <c r="D232" s="6"/>
      <c r="E232" s="5"/>
      <c r="F232" s="5"/>
      <c r="G232" s="5"/>
      <c r="H232" s="5"/>
    </row>
    <row r="233" spans="1:8" x14ac:dyDescent="0.35">
      <c r="A233" s="5"/>
      <c r="B233" s="6"/>
      <c r="C233" s="6"/>
      <c r="D233" s="6"/>
      <c r="E233" s="5"/>
      <c r="F233" s="5"/>
      <c r="G233" s="5"/>
      <c r="H233" s="5"/>
    </row>
    <row r="234" spans="1:8" x14ac:dyDescent="0.35">
      <c r="A234" s="5"/>
      <c r="B234" s="6"/>
      <c r="C234" s="6"/>
      <c r="D234" s="6"/>
      <c r="E234" s="5"/>
      <c r="F234" s="5"/>
      <c r="G234" s="5"/>
      <c r="H234" s="5"/>
    </row>
    <row r="235" spans="1:8" x14ac:dyDescent="0.35">
      <c r="A235" s="5"/>
      <c r="B235" s="6"/>
      <c r="C235" s="6"/>
      <c r="D235" s="6"/>
      <c r="E235" s="5"/>
      <c r="F235" s="5"/>
      <c r="G235" s="5"/>
      <c r="H235" s="5"/>
    </row>
    <row r="236" spans="1:8" x14ac:dyDescent="0.35">
      <c r="A236" s="5"/>
      <c r="B236" s="6"/>
      <c r="C236" s="6"/>
      <c r="D236" s="6"/>
      <c r="E236" s="5"/>
      <c r="F236" s="5"/>
      <c r="G236" s="5"/>
      <c r="H236" s="5"/>
    </row>
    <row r="237" spans="1:8" x14ac:dyDescent="0.35">
      <c r="A237" s="5"/>
      <c r="B237" s="6"/>
      <c r="C237" s="6"/>
      <c r="D237" s="6"/>
      <c r="E237" s="5"/>
      <c r="F237" s="5"/>
      <c r="G237" s="5"/>
      <c r="H237" s="5"/>
    </row>
    <row r="238" spans="1:8" x14ac:dyDescent="0.35">
      <c r="A238" s="5"/>
      <c r="B238" s="6"/>
      <c r="C238" s="6"/>
      <c r="D238" s="6"/>
      <c r="E238" s="5"/>
      <c r="F238" s="5"/>
      <c r="G238" s="5"/>
      <c r="H238" s="5"/>
    </row>
    <row r="239" spans="1:8" x14ac:dyDescent="0.35">
      <c r="A239" s="5"/>
      <c r="B239" s="6"/>
      <c r="C239" s="6"/>
      <c r="D239" s="6"/>
      <c r="E239" s="5"/>
      <c r="F239" s="5"/>
      <c r="G239" s="5"/>
      <c r="H239" s="5"/>
    </row>
    <row r="240" spans="1:8" x14ac:dyDescent="0.35">
      <c r="A240" s="5"/>
      <c r="B240" s="6"/>
      <c r="C240" s="6"/>
      <c r="D240" s="6"/>
      <c r="E240" s="5"/>
      <c r="F240" s="5"/>
      <c r="G240" s="5"/>
      <c r="H240" s="5"/>
    </row>
    <row r="241" spans="1:8" x14ac:dyDescent="0.35">
      <c r="A241" s="5"/>
      <c r="B241" s="6"/>
      <c r="C241" s="6"/>
      <c r="D241" s="6"/>
      <c r="E241" s="5"/>
      <c r="F241" s="5"/>
      <c r="G241" s="5"/>
      <c r="H241" s="5"/>
    </row>
    <row r="242" spans="1:8" x14ac:dyDescent="0.35">
      <c r="A242" s="5"/>
      <c r="B242" s="6"/>
      <c r="C242" s="6"/>
      <c r="D242" s="6"/>
      <c r="E242" s="5"/>
      <c r="F242" s="5"/>
      <c r="G242" s="5"/>
      <c r="H242" s="5"/>
    </row>
    <row r="243" spans="1:8" x14ac:dyDescent="0.35">
      <c r="A243" s="5"/>
      <c r="B243" s="6"/>
      <c r="C243" s="6"/>
      <c r="D243" s="6"/>
      <c r="E243" s="5"/>
      <c r="F243" s="5"/>
      <c r="G243" s="5"/>
      <c r="H243" s="5"/>
    </row>
    <row r="244" spans="1:8" x14ac:dyDescent="0.35">
      <c r="A244" s="5"/>
      <c r="B244" s="6"/>
      <c r="C244" s="6"/>
      <c r="D244" s="6"/>
      <c r="E244" s="5"/>
      <c r="F244" s="5"/>
      <c r="G244" s="5"/>
      <c r="H244" s="5"/>
    </row>
    <row r="245" spans="1:8" x14ac:dyDescent="0.35">
      <c r="A245" s="5"/>
      <c r="B245" s="6"/>
      <c r="C245" s="6"/>
      <c r="D245" s="6"/>
      <c r="E245" s="5"/>
      <c r="F245" s="5"/>
      <c r="G245" s="5"/>
      <c r="H245" s="5"/>
    </row>
    <row r="246" spans="1:8" x14ac:dyDescent="0.35">
      <c r="A246" s="5"/>
      <c r="B246" s="6"/>
      <c r="C246" s="6"/>
      <c r="D246" s="6"/>
      <c r="E246" s="5"/>
      <c r="F246" s="5"/>
      <c r="G246" s="5"/>
      <c r="H246" s="5"/>
    </row>
    <row r="247" spans="1:8" x14ac:dyDescent="0.35">
      <c r="A247" s="5"/>
      <c r="B247" s="6"/>
      <c r="C247" s="6"/>
      <c r="D247" s="6"/>
      <c r="E247" s="5"/>
      <c r="F247" s="5"/>
      <c r="G247" s="5"/>
      <c r="H247" s="5"/>
    </row>
    <row r="248" spans="1:8" x14ac:dyDescent="0.35">
      <c r="A248" s="5"/>
      <c r="B248" s="6"/>
      <c r="C248" s="6"/>
      <c r="D248" s="6"/>
      <c r="E248" s="5"/>
      <c r="F248" s="5"/>
      <c r="G248" s="5"/>
      <c r="H248" s="5"/>
    </row>
    <row r="249" spans="1:8" x14ac:dyDescent="0.35">
      <c r="A249" s="5"/>
      <c r="B249" s="6"/>
      <c r="C249" s="6"/>
      <c r="D249" s="6"/>
      <c r="E249" s="5"/>
      <c r="F249" s="5"/>
      <c r="G249" s="5"/>
      <c r="H249" s="5"/>
    </row>
    <row r="250" spans="1:8" x14ac:dyDescent="0.35">
      <c r="A250" s="5"/>
      <c r="B250" s="6"/>
      <c r="C250" s="6"/>
      <c r="D250" s="6"/>
      <c r="E250" s="5"/>
      <c r="F250" s="5"/>
      <c r="G250" s="5"/>
      <c r="H250" s="5"/>
    </row>
    <row r="251" spans="1:8" x14ac:dyDescent="0.35">
      <c r="A251" s="5"/>
      <c r="B251" s="6"/>
      <c r="C251" s="6"/>
      <c r="D251" s="6"/>
      <c r="E251" s="5"/>
      <c r="F251" s="5"/>
      <c r="G251" s="5"/>
      <c r="H251" s="5"/>
    </row>
    <row r="252" spans="1:8" x14ac:dyDescent="0.35">
      <c r="A252" s="5"/>
      <c r="B252" s="6"/>
      <c r="C252" s="6"/>
      <c r="D252" s="6"/>
      <c r="E252" s="5"/>
      <c r="F252" s="5"/>
      <c r="G252" s="5"/>
      <c r="H252" s="5"/>
    </row>
    <row r="253" spans="1:8" x14ac:dyDescent="0.35">
      <c r="A253" s="5"/>
      <c r="B253" s="6"/>
      <c r="C253" s="6"/>
      <c r="D253" s="6"/>
      <c r="E253" s="5"/>
      <c r="F253" s="5"/>
      <c r="G253" s="5"/>
      <c r="H253" s="5"/>
    </row>
    <row r="254" spans="1:8" x14ac:dyDescent="0.35">
      <c r="A254" s="5"/>
      <c r="B254" s="6"/>
      <c r="C254" s="6"/>
      <c r="D254" s="6"/>
      <c r="E254" s="5"/>
      <c r="F254" s="5"/>
      <c r="G254" s="5"/>
      <c r="H254" s="5"/>
    </row>
    <row r="255" spans="1:8" x14ac:dyDescent="0.35">
      <c r="A255" s="5"/>
      <c r="B255" s="6"/>
      <c r="C255" s="6"/>
      <c r="D255" s="6"/>
      <c r="E255" s="5"/>
      <c r="F255" s="5"/>
      <c r="G255" s="5"/>
      <c r="H255" s="5"/>
    </row>
    <row r="256" spans="1:8" x14ac:dyDescent="0.35">
      <c r="A256" s="5"/>
      <c r="B256" s="6"/>
      <c r="C256" s="6"/>
      <c r="D256" s="6"/>
      <c r="E256" s="5"/>
      <c r="F256" s="5"/>
      <c r="G256" s="5"/>
      <c r="H256" s="5"/>
    </row>
    <row r="257" spans="1:8" x14ac:dyDescent="0.35">
      <c r="A257" s="5"/>
      <c r="B257" s="6"/>
      <c r="C257" s="6"/>
      <c r="D257" s="6"/>
      <c r="E257" s="5"/>
      <c r="F257" s="5"/>
      <c r="G257" s="5"/>
      <c r="H257" s="5"/>
    </row>
    <row r="258" spans="1:8" x14ac:dyDescent="0.35">
      <c r="A258" s="5"/>
      <c r="B258" s="6"/>
      <c r="C258" s="6"/>
      <c r="D258" s="6"/>
      <c r="E258" s="5"/>
      <c r="F258" s="5"/>
      <c r="G258" s="5"/>
      <c r="H258" s="5"/>
    </row>
    <row r="259" spans="1:8" x14ac:dyDescent="0.35">
      <c r="A259" s="5"/>
      <c r="B259" s="6"/>
      <c r="C259" s="6"/>
      <c r="D259" s="6"/>
      <c r="E259" s="5"/>
      <c r="F259" s="5"/>
      <c r="G259" s="5"/>
      <c r="H259" s="5"/>
    </row>
    <row r="260" spans="1:8" x14ac:dyDescent="0.35">
      <c r="A260" s="5"/>
      <c r="B260" s="6"/>
      <c r="C260" s="6"/>
      <c r="D260" s="6"/>
      <c r="E260" s="5"/>
      <c r="F260" s="5"/>
      <c r="G260" s="5"/>
      <c r="H260" s="5"/>
    </row>
    <row r="261" spans="1:8" x14ac:dyDescent="0.35">
      <c r="A261" s="5"/>
      <c r="B261" s="6"/>
      <c r="C261" s="6"/>
      <c r="D261" s="6"/>
      <c r="E261" s="5"/>
      <c r="F261" s="5"/>
      <c r="G261" s="5"/>
      <c r="H261" s="5"/>
    </row>
    <row r="262" spans="1:8" x14ac:dyDescent="0.35">
      <c r="A262" s="5"/>
      <c r="B262" s="6"/>
      <c r="C262" s="6"/>
      <c r="D262" s="6"/>
      <c r="E262" s="5"/>
      <c r="F262" s="5"/>
      <c r="G262" s="5"/>
      <c r="H262" s="5"/>
    </row>
    <row r="263" spans="1:8" x14ac:dyDescent="0.35">
      <c r="A263" s="5"/>
      <c r="B263" s="6"/>
      <c r="C263" s="6"/>
      <c r="D263" s="6"/>
      <c r="E263" s="5"/>
      <c r="F263" s="5"/>
      <c r="G263" s="5"/>
      <c r="H263" s="5"/>
    </row>
    <row r="264" spans="1:8" x14ac:dyDescent="0.35">
      <c r="A264" s="5"/>
      <c r="B264" s="6"/>
      <c r="C264" s="6"/>
      <c r="D264" s="6"/>
      <c r="E264" s="5"/>
      <c r="F264" s="5"/>
      <c r="G264" s="5"/>
      <c r="H264" s="5"/>
    </row>
    <row r="265" spans="1:8" x14ac:dyDescent="0.35">
      <c r="A265" s="5"/>
      <c r="B265" s="6"/>
      <c r="C265" s="6"/>
      <c r="D265" s="6"/>
      <c r="E265" s="5"/>
      <c r="F265" s="5"/>
      <c r="G265" s="5"/>
      <c r="H265" s="5"/>
    </row>
    <row r="266" spans="1:8" x14ac:dyDescent="0.35">
      <c r="A266" s="5"/>
      <c r="B266" s="6"/>
      <c r="C266" s="6"/>
      <c r="D266" s="6"/>
      <c r="E266" s="5"/>
      <c r="F266" s="5"/>
      <c r="G266" s="5"/>
      <c r="H266" s="5"/>
    </row>
    <row r="267" spans="1:8" x14ac:dyDescent="0.35">
      <c r="A267" s="5"/>
      <c r="B267" s="6"/>
      <c r="C267" s="6"/>
      <c r="D267" s="6"/>
      <c r="E267" s="5"/>
      <c r="F267" s="5"/>
      <c r="G267" s="5"/>
      <c r="H267" s="5"/>
    </row>
    <row r="268" spans="1:8" x14ac:dyDescent="0.35">
      <c r="A268" s="5"/>
      <c r="B268" s="6"/>
      <c r="C268" s="6"/>
      <c r="D268" s="6"/>
      <c r="E268" s="5"/>
      <c r="F268" s="5"/>
      <c r="G268" s="5"/>
      <c r="H268" s="5"/>
    </row>
    <row r="269" spans="1:8" x14ac:dyDescent="0.35">
      <c r="A269" s="5"/>
      <c r="B269" s="6"/>
      <c r="C269" s="6"/>
      <c r="D269" s="6"/>
      <c r="E269" s="5"/>
      <c r="F269" s="5"/>
      <c r="G269" s="5"/>
      <c r="H269" s="5"/>
    </row>
    <row r="270" spans="1:8" x14ac:dyDescent="0.35">
      <c r="A270" s="5"/>
      <c r="B270" s="6"/>
      <c r="C270" s="6"/>
      <c r="D270" s="6"/>
      <c r="E270" s="5"/>
      <c r="F270" s="5"/>
      <c r="G270" s="5"/>
      <c r="H270" s="5"/>
    </row>
    <row r="271" spans="1:8" x14ac:dyDescent="0.35">
      <c r="A271" s="5"/>
      <c r="B271" s="6"/>
      <c r="C271" s="6"/>
      <c r="D271" s="6"/>
      <c r="E271" s="5"/>
      <c r="F271" s="5"/>
      <c r="G271" s="5"/>
      <c r="H271" s="5"/>
    </row>
    <row r="272" spans="1:8" x14ac:dyDescent="0.35">
      <c r="A272" s="5"/>
      <c r="B272" s="6"/>
      <c r="C272" s="6"/>
      <c r="D272" s="6"/>
      <c r="E272" s="5"/>
      <c r="F272" s="5"/>
      <c r="G272" s="5"/>
      <c r="H272" s="5"/>
    </row>
    <row r="273" spans="1:8" x14ac:dyDescent="0.35">
      <c r="A273" s="5"/>
      <c r="B273" s="6"/>
      <c r="C273" s="6"/>
      <c r="D273" s="6"/>
      <c r="E273" s="5"/>
      <c r="F273" s="5"/>
      <c r="G273" s="5"/>
      <c r="H273" s="5"/>
    </row>
    <row r="274" spans="1:8" x14ac:dyDescent="0.35">
      <c r="A274" s="5"/>
      <c r="B274" s="6"/>
      <c r="C274" s="6"/>
      <c r="D274" s="6"/>
      <c r="E274" s="5"/>
      <c r="F274" s="5"/>
      <c r="G274" s="5"/>
      <c r="H274" s="5"/>
    </row>
    <row r="275" spans="1:8" x14ac:dyDescent="0.35">
      <c r="A275" s="5"/>
      <c r="B275" s="6"/>
      <c r="C275" s="6"/>
      <c r="D275" s="6"/>
      <c r="E275" s="5"/>
      <c r="F275" s="5"/>
      <c r="G275" s="5"/>
      <c r="H275" s="5"/>
    </row>
    <row r="276" spans="1:8" x14ac:dyDescent="0.35">
      <c r="A276" s="5"/>
      <c r="B276" s="6"/>
      <c r="C276" s="6"/>
      <c r="D276" s="6"/>
      <c r="E276" s="5"/>
      <c r="F276" s="5"/>
      <c r="G276" s="5"/>
      <c r="H276" s="5"/>
    </row>
    <row r="277" spans="1:8" x14ac:dyDescent="0.35">
      <c r="A277" s="5"/>
      <c r="B277" s="6"/>
      <c r="C277" s="6"/>
      <c r="D277" s="6"/>
      <c r="E277" s="5"/>
      <c r="F277" s="5"/>
      <c r="G277" s="5"/>
      <c r="H277" s="5"/>
    </row>
    <row r="278" spans="1:8" x14ac:dyDescent="0.35">
      <c r="A278" s="5"/>
      <c r="B278" s="6"/>
      <c r="C278" s="6"/>
      <c r="D278" s="6"/>
      <c r="E278" s="5"/>
      <c r="F278" s="5"/>
      <c r="G278" s="5"/>
      <c r="H278" s="5"/>
    </row>
    <row r="279" spans="1:8" x14ac:dyDescent="0.35">
      <c r="A279" s="5"/>
      <c r="B279" s="6"/>
      <c r="C279" s="6"/>
      <c r="D279" s="6"/>
      <c r="E279" s="5"/>
      <c r="F279" s="5"/>
      <c r="G279" s="5"/>
      <c r="H279" s="5"/>
    </row>
    <row r="280" spans="1:8" x14ac:dyDescent="0.35">
      <c r="A280" s="5"/>
      <c r="B280" s="6"/>
      <c r="C280" s="6"/>
      <c r="D280" s="6"/>
      <c r="E280" s="5"/>
      <c r="F280" s="5"/>
      <c r="G280" s="5"/>
      <c r="H280" s="5"/>
    </row>
    <row r="281" spans="1:8" x14ac:dyDescent="0.35">
      <c r="A281" s="5"/>
      <c r="B281" s="6"/>
      <c r="C281" s="6"/>
      <c r="D281" s="6"/>
      <c r="E281" s="5"/>
      <c r="F281" s="5"/>
      <c r="G281" s="5"/>
      <c r="H281" s="5"/>
    </row>
    <row r="282" spans="1:8" x14ac:dyDescent="0.35">
      <c r="A282" s="5"/>
      <c r="B282" s="6"/>
      <c r="C282" s="6"/>
      <c r="D282" s="6"/>
      <c r="E282" s="5"/>
      <c r="F282" s="5"/>
      <c r="G282" s="5"/>
      <c r="H282" s="5"/>
    </row>
    <row r="283" spans="1:8" x14ac:dyDescent="0.35">
      <c r="A283" s="5"/>
      <c r="B283" s="6"/>
      <c r="C283" s="6"/>
      <c r="D283" s="6"/>
      <c r="E283" s="5"/>
      <c r="F283" s="5"/>
      <c r="G283" s="5"/>
      <c r="H283" s="5"/>
    </row>
    <row r="284" spans="1:8" x14ac:dyDescent="0.35">
      <c r="A284" s="5"/>
      <c r="B284" s="6"/>
      <c r="C284" s="6"/>
      <c r="D284" s="6"/>
      <c r="E284" s="5"/>
      <c r="F284" s="5"/>
      <c r="G284" s="5"/>
      <c r="H284" s="5"/>
    </row>
    <row r="285" spans="1:8" x14ac:dyDescent="0.35">
      <c r="A285" s="5"/>
      <c r="B285" s="6"/>
      <c r="C285" s="6"/>
      <c r="D285" s="6"/>
      <c r="E285" s="5"/>
      <c r="F285" s="5"/>
      <c r="G285" s="5"/>
      <c r="H285" s="5"/>
    </row>
    <row r="286" spans="1:8" x14ac:dyDescent="0.35">
      <c r="A286" s="5"/>
      <c r="B286" s="6"/>
      <c r="C286" s="6"/>
      <c r="D286" s="6"/>
      <c r="E286" s="5"/>
      <c r="F286" s="5"/>
      <c r="G286" s="5"/>
      <c r="H286" s="5"/>
    </row>
    <row r="287" spans="1:8" x14ac:dyDescent="0.35">
      <c r="A287" s="5"/>
      <c r="B287" s="6"/>
      <c r="C287" s="6"/>
      <c r="D287" s="6"/>
      <c r="E287" s="5"/>
      <c r="F287" s="5"/>
      <c r="G287" s="5"/>
      <c r="H287" s="5"/>
    </row>
    <row r="288" spans="1:8" x14ac:dyDescent="0.35">
      <c r="A288" s="5"/>
      <c r="B288" s="6"/>
      <c r="C288" s="6"/>
      <c r="D288" s="6"/>
      <c r="E288" s="5"/>
      <c r="F288" s="5"/>
      <c r="G288" s="5"/>
      <c r="H288" s="5"/>
    </row>
    <row r="289" spans="1:8" x14ac:dyDescent="0.35">
      <c r="A289" s="5"/>
      <c r="B289" s="6"/>
      <c r="C289" s="6"/>
      <c r="D289" s="6"/>
      <c r="E289" s="5"/>
      <c r="F289" s="5"/>
      <c r="G289" s="5"/>
      <c r="H289" s="5"/>
    </row>
    <row r="290" spans="1:8" x14ac:dyDescent="0.35">
      <c r="A290" s="5"/>
      <c r="B290" s="6"/>
      <c r="C290" s="6"/>
      <c r="D290" s="6"/>
      <c r="E290" s="5"/>
      <c r="F290" s="5"/>
      <c r="G290" s="5"/>
      <c r="H290" s="5"/>
    </row>
    <row r="291" spans="1:8" x14ac:dyDescent="0.35">
      <c r="A291" s="5"/>
      <c r="B291" s="6"/>
      <c r="C291" s="6"/>
      <c r="D291" s="6"/>
      <c r="E291" s="5"/>
      <c r="F291" s="5"/>
      <c r="G291" s="5"/>
      <c r="H291" s="5"/>
    </row>
    <row r="292" spans="1:8" x14ac:dyDescent="0.35">
      <c r="A292" s="5"/>
      <c r="B292" s="6"/>
      <c r="C292" s="6"/>
      <c r="D292" s="6"/>
      <c r="E292" s="5"/>
      <c r="F292" s="5"/>
      <c r="G292" s="5"/>
      <c r="H292" s="5"/>
    </row>
    <row r="293" spans="1:8" x14ac:dyDescent="0.35">
      <c r="A293" s="5"/>
      <c r="B293" s="6"/>
      <c r="C293" s="6"/>
      <c r="D293" s="6"/>
      <c r="E293" s="5"/>
      <c r="F293" s="5"/>
      <c r="G293" s="5"/>
      <c r="H293" s="5"/>
    </row>
    <row r="294" spans="1:8" x14ac:dyDescent="0.35">
      <c r="A294" s="5"/>
      <c r="B294" s="6"/>
      <c r="C294" s="6"/>
      <c r="D294" s="6"/>
      <c r="E294" s="5"/>
      <c r="F294" s="5"/>
      <c r="G294" s="5"/>
      <c r="H294" s="5"/>
    </row>
    <row r="295" spans="1:8" x14ac:dyDescent="0.35">
      <c r="A295" s="5"/>
      <c r="B295" s="6"/>
      <c r="C295" s="6"/>
      <c r="D295" s="6"/>
      <c r="E295" s="5"/>
      <c r="F295" s="5"/>
      <c r="G295" s="5"/>
      <c r="H295" s="5"/>
    </row>
    <row r="296" spans="1:8" x14ac:dyDescent="0.35">
      <c r="A296" s="5"/>
      <c r="B296" s="6"/>
      <c r="C296" s="6"/>
      <c r="D296" s="6"/>
      <c r="E296" s="5"/>
      <c r="F296" s="5"/>
      <c r="G296" s="5"/>
      <c r="H296" s="5"/>
    </row>
    <row r="297" spans="1:8" x14ac:dyDescent="0.35">
      <c r="A297" s="5"/>
      <c r="B297" s="6"/>
      <c r="C297" s="6"/>
      <c r="D297" s="6"/>
      <c r="E297" s="5"/>
      <c r="F297" s="5"/>
      <c r="G297" s="5"/>
      <c r="H297" s="5"/>
    </row>
    <row r="298" spans="1:8" x14ac:dyDescent="0.35">
      <c r="A298" s="5"/>
      <c r="B298" s="6"/>
      <c r="C298" s="6"/>
      <c r="D298" s="6"/>
      <c r="E298" s="5"/>
      <c r="F298" s="5"/>
      <c r="G298" s="5"/>
      <c r="H298" s="5"/>
    </row>
    <row r="299" spans="1:8" x14ac:dyDescent="0.35">
      <c r="A299" s="5"/>
      <c r="B299" s="6"/>
      <c r="C299" s="6"/>
      <c r="D299" s="6"/>
      <c r="E299" s="5"/>
      <c r="F299" s="5"/>
      <c r="G299" s="5"/>
      <c r="H299" s="5"/>
    </row>
    <row r="300" spans="1:8" x14ac:dyDescent="0.35">
      <c r="A300" s="5"/>
      <c r="B300" s="6"/>
      <c r="C300" s="6"/>
      <c r="D300" s="6"/>
      <c r="E300" s="5"/>
      <c r="F300" s="5"/>
      <c r="G300" s="5"/>
      <c r="H300" s="5"/>
    </row>
    <row r="301" spans="1:8" x14ac:dyDescent="0.35">
      <c r="A301" s="5"/>
      <c r="B301" s="6"/>
      <c r="C301" s="6"/>
      <c r="D301" s="6"/>
      <c r="E301" s="5"/>
      <c r="F301" s="5"/>
      <c r="G301" s="5"/>
      <c r="H301" s="5"/>
    </row>
    <row r="302" spans="1:8" x14ac:dyDescent="0.35">
      <c r="A302" s="5"/>
      <c r="B302" s="6"/>
      <c r="C302" s="6"/>
      <c r="D302" s="6"/>
      <c r="E302" s="5"/>
      <c r="F302" s="5"/>
      <c r="G302" s="5"/>
      <c r="H302" s="5"/>
    </row>
    <row r="303" spans="1:8" x14ac:dyDescent="0.35">
      <c r="A303" s="5"/>
      <c r="B303" s="6"/>
      <c r="C303" s="6"/>
      <c r="D303" s="6"/>
      <c r="E303" s="5"/>
      <c r="F303" s="5"/>
      <c r="G303" s="5"/>
      <c r="H303" s="5"/>
    </row>
    <row r="304" spans="1:8" x14ac:dyDescent="0.35">
      <c r="A304" s="5"/>
      <c r="B304" s="6"/>
      <c r="C304" s="6"/>
      <c r="D304" s="6"/>
      <c r="E304" s="5"/>
      <c r="F304" s="5"/>
      <c r="G304" s="5"/>
      <c r="H304" s="5"/>
    </row>
    <row r="305" spans="1:8" x14ac:dyDescent="0.35">
      <c r="A305" s="5"/>
      <c r="B305" s="6"/>
      <c r="C305" s="6"/>
      <c r="D305" s="6"/>
      <c r="E305" s="5"/>
      <c r="F305" s="5"/>
      <c r="G305" s="5"/>
      <c r="H305" s="5"/>
    </row>
    <row r="306" spans="1:8" x14ac:dyDescent="0.35">
      <c r="A306" s="5"/>
      <c r="B306" s="6"/>
      <c r="C306" s="6"/>
      <c r="D306" s="6"/>
      <c r="E306" s="5"/>
      <c r="F306" s="5"/>
      <c r="G306" s="5"/>
      <c r="H306" s="5"/>
    </row>
    <row r="307" spans="1:8" x14ac:dyDescent="0.35">
      <c r="A307" s="5"/>
      <c r="B307" s="6"/>
      <c r="C307" s="6"/>
      <c r="D307" s="6"/>
      <c r="E307" s="5"/>
      <c r="F307" s="5"/>
      <c r="G307" s="5"/>
      <c r="H307" s="5"/>
    </row>
    <row r="308" spans="1:8" x14ac:dyDescent="0.35">
      <c r="A308" s="5"/>
      <c r="B308" s="6"/>
      <c r="C308" s="6"/>
      <c r="D308" s="6"/>
      <c r="E308" s="5"/>
      <c r="F308" s="5"/>
      <c r="G308" s="5"/>
      <c r="H308" s="5"/>
    </row>
    <row r="309" spans="1:8" x14ac:dyDescent="0.35">
      <c r="A309" s="5"/>
      <c r="B309" s="6"/>
      <c r="C309" s="6"/>
      <c r="D309" s="6"/>
      <c r="E309" s="5"/>
      <c r="F309" s="5"/>
      <c r="G309" s="5"/>
      <c r="H309" s="5"/>
    </row>
    <row r="310" spans="1:8" x14ac:dyDescent="0.35">
      <c r="A310" s="5"/>
      <c r="B310" s="6"/>
      <c r="C310" s="6"/>
      <c r="D310" s="6"/>
      <c r="E310" s="5"/>
      <c r="F310" s="5"/>
      <c r="G310" s="5"/>
      <c r="H310" s="5"/>
    </row>
    <row r="311" spans="1:8" x14ac:dyDescent="0.35">
      <c r="A311" s="5"/>
      <c r="B311" s="6"/>
      <c r="C311" s="6"/>
      <c r="D311" s="6"/>
      <c r="E311" s="5"/>
      <c r="F311" s="5"/>
      <c r="G311" s="5"/>
      <c r="H311" s="5"/>
    </row>
    <row r="312" spans="1:8" x14ac:dyDescent="0.35">
      <c r="A312" s="5"/>
      <c r="B312" s="6"/>
      <c r="C312" s="6"/>
      <c r="D312" s="6"/>
      <c r="E312" s="5"/>
      <c r="F312" s="5"/>
      <c r="G312" s="5"/>
      <c r="H312" s="5"/>
    </row>
    <row r="313" spans="1:8" x14ac:dyDescent="0.35">
      <c r="A313" s="5"/>
      <c r="B313" s="6"/>
      <c r="C313" s="6"/>
      <c r="D313" s="6"/>
      <c r="E313" s="5"/>
      <c r="F313" s="5"/>
      <c r="G313" s="5"/>
      <c r="H313" s="5"/>
    </row>
    <row r="314" spans="1:8" x14ac:dyDescent="0.35">
      <c r="A314" s="5"/>
      <c r="B314" s="6"/>
      <c r="C314" s="6"/>
      <c r="D314" s="6"/>
      <c r="E314" s="5"/>
      <c r="F314" s="5"/>
      <c r="G314" s="5"/>
      <c r="H314" s="5"/>
    </row>
    <row r="315" spans="1:8" x14ac:dyDescent="0.35">
      <c r="A315" s="5"/>
      <c r="B315" s="6"/>
      <c r="C315" s="6"/>
      <c r="D315" s="6"/>
      <c r="E315" s="5"/>
      <c r="F315" s="5"/>
      <c r="G315" s="5"/>
      <c r="H315" s="5"/>
    </row>
    <row r="316" spans="1:8" x14ac:dyDescent="0.35">
      <c r="A316" s="5"/>
      <c r="B316" s="6"/>
      <c r="C316" s="6"/>
      <c r="D316" s="6"/>
      <c r="E316" s="5"/>
      <c r="F316" s="5"/>
      <c r="G316" s="5"/>
      <c r="H316" s="5"/>
    </row>
    <row r="317" spans="1:8" x14ac:dyDescent="0.35">
      <c r="A317" s="5"/>
      <c r="B317" s="6"/>
      <c r="C317" s="6"/>
      <c r="D317" s="6"/>
      <c r="E317" s="5"/>
      <c r="F317" s="5"/>
      <c r="G317" s="5"/>
      <c r="H317" s="5"/>
    </row>
    <row r="318" spans="1:8" x14ac:dyDescent="0.35">
      <c r="A318" s="5"/>
      <c r="B318" s="6"/>
      <c r="C318" s="6"/>
      <c r="D318" s="6"/>
      <c r="E318" s="5"/>
      <c r="F318" s="5"/>
      <c r="G318" s="5"/>
      <c r="H318" s="5"/>
    </row>
    <row r="319" spans="1:8" x14ac:dyDescent="0.35">
      <c r="A319" s="5"/>
      <c r="B319" s="6"/>
      <c r="C319" s="6"/>
      <c r="D319" s="6"/>
      <c r="E319" s="5"/>
      <c r="F319" s="5"/>
      <c r="G319" s="5"/>
      <c r="H319" s="5"/>
    </row>
    <row r="320" spans="1:8" x14ac:dyDescent="0.35">
      <c r="A320" s="5"/>
      <c r="B320" s="6"/>
      <c r="C320" s="6"/>
      <c r="D320" s="6"/>
      <c r="E320" s="5"/>
      <c r="F320" s="5"/>
      <c r="G320" s="5"/>
      <c r="H320" s="5"/>
    </row>
    <row r="321" spans="1:8" x14ac:dyDescent="0.35">
      <c r="A321" s="5"/>
      <c r="B321" s="6"/>
      <c r="C321" s="6"/>
      <c r="D321" s="6"/>
      <c r="E321" s="5"/>
      <c r="F321" s="5"/>
      <c r="G321" s="5"/>
      <c r="H321" s="5"/>
    </row>
    <row r="322" spans="1:8" x14ac:dyDescent="0.35">
      <c r="A322" s="5"/>
      <c r="B322" s="6"/>
      <c r="C322" s="6"/>
      <c r="D322" s="6"/>
      <c r="E322" s="5"/>
      <c r="F322" s="5"/>
      <c r="G322" s="5"/>
      <c r="H322" s="5"/>
    </row>
    <row r="323" spans="1:8" x14ac:dyDescent="0.35">
      <c r="A323" s="5"/>
      <c r="B323" s="6"/>
      <c r="C323" s="6"/>
      <c r="D323" s="6"/>
      <c r="E323" s="5"/>
      <c r="F323" s="5"/>
      <c r="G323" s="5"/>
      <c r="H323" s="5"/>
    </row>
    <row r="324" spans="1:8" x14ac:dyDescent="0.35">
      <c r="A324" s="5"/>
      <c r="B324" s="6"/>
      <c r="C324" s="6"/>
      <c r="D324" s="6"/>
      <c r="E324" s="5"/>
      <c r="F324" s="5"/>
      <c r="G324" s="5"/>
      <c r="H324" s="5"/>
    </row>
    <row r="325" spans="1:8" x14ac:dyDescent="0.35">
      <c r="A325" s="5"/>
      <c r="B325" s="6"/>
      <c r="C325" s="6"/>
      <c r="D325" s="6"/>
      <c r="E325" s="5"/>
      <c r="F325" s="5"/>
      <c r="G325" s="5"/>
      <c r="H325" s="5"/>
    </row>
    <row r="326" spans="1:8" x14ac:dyDescent="0.35">
      <c r="A326" s="5"/>
      <c r="B326" s="6"/>
      <c r="C326" s="6"/>
      <c r="D326" s="6"/>
      <c r="E326" s="5"/>
      <c r="F326" s="5"/>
      <c r="G326" s="5"/>
      <c r="H326" s="5"/>
    </row>
    <row r="327" spans="1:8" x14ac:dyDescent="0.35">
      <c r="A327" s="5"/>
      <c r="B327" s="6"/>
      <c r="C327" s="6"/>
      <c r="D327" s="6"/>
      <c r="E327" s="5"/>
      <c r="F327" s="5"/>
      <c r="G327" s="5"/>
      <c r="H327" s="5"/>
    </row>
    <row r="328" spans="1:8" x14ac:dyDescent="0.35">
      <c r="A328" s="5"/>
      <c r="B328" s="6"/>
      <c r="C328" s="6"/>
      <c r="D328" s="6"/>
      <c r="E328" s="5"/>
      <c r="F328" s="5"/>
      <c r="G328" s="5"/>
      <c r="H328" s="5"/>
    </row>
    <row r="329" spans="1:8" x14ac:dyDescent="0.35">
      <c r="A329" s="5"/>
      <c r="B329" s="6"/>
      <c r="C329" s="6"/>
      <c r="D329" s="6"/>
      <c r="E329" s="5"/>
      <c r="F329" s="5"/>
      <c r="G329" s="5"/>
      <c r="H329" s="5"/>
    </row>
    <row r="330" spans="1:8" x14ac:dyDescent="0.35">
      <c r="A330" s="5"/>
      <c r="B330" s="6"/>
      <c r="C330" s="6"/>
      <c r="D330" s="6"/>
      <c r="E330" s="5"/>
      <c r="F330" s="5"/>
      <c r="G330" s="5"/>
      <c r="H330" s="5"/>
    </row>
    <row r="331" spans="1:8" x14ac:dyDescent="0.35">
      <c r="A331" s="5"/>
      <c r="B331" s="6"/>
      <c r="C331" s="6"/>
      <c r="D331" s="6"/>
      <c r="E331" s="5"/>
      <c r="F331" s="5"/>
      <c r="G331" s="5"/>
      <c r="H331" s="5"/>
    </row>
    <row r="332" spans="1:8" x14ac:dyDescent="0.35">
      <c r="A332" s="5"/>
      <c r="B332" s="6"/>
      <c r="C332" s="6"/>
      <c r="D332" s="6"/>
      <c r="E332" s="5"/>
      <c r="F332" s="5"/>
      <c r="G332" s="5"/>
      <c r="H332" s="5"/>
    </row>
    <row r="333" spans="1:8" x14ac:dyDescent="0.35">
      <c r="A333" s="5"/>
      <c r="B333" s="6"/>
      <c r="C333" s="6"/>
      <c r="D333" s="6"/>
      <c r="E333" s="5"/>
      <c r="F333" s="5"/>
      <c r="G333" s="5"/>
      <c r="H333" s="5"/>
    </row>
    <row r="334" spans="1:8" x14ac:dyDescent="0.35">
      <c r="A334" s="5"/>
      <c r="B334" s="6"/>
      <c r="C334" s="6"/>
      <c r="D334" s="6"/>
      <c r="E334" s="5"/>
      <c r="F334" s="5"/>
      <c r="G334" s="5"/>
      <c r="H334" s="5"/>
    </row>
    <row r="335" spans="1:8" x14ac:dyDescent="0.35">
      <c r="A335" s="5"/>
      <c r="B335" s="6"/>
      <c r="C335" s="6"/>
      <c r="D335" s="6"/>
      <c r="E335" s="5"/>
      <c r="F335" s="5"/>
      <c r="G335" s="5"/>
      <c r="H335" s="5"/>
    </row>
    <row r="336" spans="1:8" x14ac:dyDescent="0.35">
      <c r="A336" s="5"/>
      <c r="B336" s="6"/>
      <c r="C336" s="6"/>
      <c r="D336" s="6"/>
      <c r="E336" s="5"/>
      <c r="F336" s="5"/>
      <c r="G336" s="5"/>
      <c r="H336" s="5"/>
    </row>
    <row r="337" spans="1:8" x14ac:dyDescent="0.35">
      <c r="A337" s="5"/>
      <c r="B337" s="6"/>
      <c r="C337" s="6"/>
      <c r="D337" s="6"/>
      <c r="E337" s="5"/>
      <c r="F337" s="5"/>
      <c r="G337" s="5"/>
      <c r="H337" s="5"/>
    </row>
    <row r="338" spans="1:8" x14ac:dyDescent="0.35">
      <c r="A338" s="5"/>
      <c r="B338" s="6"/>
      <c r="C338" s="6"/>
      <c r="D338" s="6"/>
      <c r="E338" s="5"/>
      <c r="F338" s="5"/>
      <c r="G338" s="5"/>
      <c r="H338" s="5"/>
    </row>
    <row r="339" spans="1:8" x14ac:dyDescent="0.35">
      <c r="A339" s="5"/>
      <c r="B339" s="6"/>
      <c r="C339" s="6"/>
      <c r="D339" s="6"/>
      <c r="E339" s="5"/>
      <c r="F339" s="5"/>
      <c r="G339" s="5"/>
      <c r="H339" s="5"/>
    </row>
    <row r="340" spans="1:8" x14ac:dyDescent="0.35">
      <c r="A340" s="5"/>
      <c r="B340" s="6"/>
      <c r="C340" s="6"/>
      <c r="D340" s="6"/>
      <c r="E340" s="5"/>
      <c r="F340" s="5"/>
      <c r="G340" s="5"/>
      <c r="H340" s="5"/>
    </row>
    <row r="341" spans="1:8" x14ac:dyDescent="0.35">
      <c r="A341" s="5"/>
      <c r="B341" s="6"/>
      <c r="C341" s="6"/>
      <c r="D341" s="6"/>
      <c r="E341" s="5"/>
      <c r="F341" s="5"/>
      <c r="G341" s="5"/>
      <c r="H341" s="5"/>
    </row>
    <row r="342" spans="1:8" x14ac:dyDescent="0.35">
      <c r="A342" s="5"/>
      <c r="B342" s="6"/>
      <c r="C342" s="6"/>
      <c r="D342" s="6"/>
      <c r="E342" s="5"/>
      <c r="F342" s="5"/>
      <c r="G342" s="5"/>
      <c r="H342" s="5"/>
    </row>
    <row r="343" spans="1:8" x14ac:dyDescent="0.35">
      <c r="A343" s="5"/>
      <c r="B343" s="6"/>
      <c r="C343" s="6"/>
      <c r="D343" s="6"/>
      <c r="E343" s="5"/>
      <c r="F343" s="5"/>
      <c r="G343" s="5"/>
      <c r="H343" s="5"/>
    </row>
    <row r="344" spans="1:8" x14ac:dyDescent="0.35">
      <c r="A344" s="5"/>
      <c r="B344" s="6"/>
      <c r="C344" s="6"/>
      <c r="D344" s="6"/>
      <c r="E344" s="5"/>
      <c r="F344" s="5"/>
      <c r="G344" s="5"/>
      <c r="H344" s="5"/>
    </row>
    <row r="345" spans="1:8" x14ac:dyDescent="0.35">
      <c r="A345" s="5"/>
      <c r="B345" s="6"/>
      <c r="C345" s="6"/>
      <c r="D345" s="6"/>
      <c r="E345" s="5"/>
      <c r="F345" s="5"/>
      <c r="G345" s="5"/>
      <c r="H345" s="5"/>
    </row>
    <row r="346" spans="1:8" x14ac:dyDescent="0.35">
      <c r="A346" s="5"/>
      <c r="B346" s="6"/>
      <c r="C346" s="6"/>
      <c r="D346" s="6"/>
      <c r="E346" s="5"/>
      <c r="F346" s="5"/>
      <c r="G346" s="5"/>
      <c r="H346" s="5"/>
    </row>
    <row r="347" spans="1:8" x14ac:dyDescent="0.35">
      <c r="A347" s="5"/>
      <c r="B347" s="6"/>
      <c r="C347" s="6"/>
      <c r="D347" s="6"/>
      <c r="E347" s="5"/>
      <c r="F347" s="5"/>
      <c r="G347" s="5"/>
      <c r="H347" s="5"/>
    </row>
    <row r="348" spans="1:8" x14ac:dyDescent="0.35">
      <c r="A348" s="5"/>
      <c r="B348" s="6"/>
      <c r="C348" s="6"/>
      <c r="D348" s="6"/>
      <c r="E348" s="5"/>
      <c r="F348" s="5"/>
      <c r="G348" s="5"/>
      <c r="H348" s="5"/>
    </row>
    <row r="349" spans="1:8" x14ac:dyDescent="0.35">
      <c r="A349" s="5"/>
      <c r="B349" s="6"/>
      <c r="C349" s="6"/>
      <c r="D349" s="6"/>
      <c r="E349" s="5"/>
      <c r="F349" s="5"/>
      <c r="G349" s="5"/>
      <c r="H349" s="5"/>
    </row>
    <row r="350" spans="1:8" x14ac:dyDescent="0.35">
      <c r="A350" s="5"/>
      <c r="B350" s="6"/>
      <c r="C350" s="6"/>
      <c r="D350" s="6"/>
      <c r="E350" s="5"/>
      <c r="F350" s="5"/>
      <c r="G350" s="5"/>
      <c r="H350" s="5"/>
    </row>
    <row r="351" spans="1:8" x14ac:dyDescent="0.35">
      <c r="A351" s="5"/>
      <c r="B351" s="6"/>
      <c r="C351" s="6"/>
      <c r="D351" s="6"/>
      <c r="E351" s="5"/>
      <c r="F351" s="5"/>
      <c r="G351" s="5"/>
      <c r="H351" s="5"/>
    </row>
    <row r="352" spans="1:8" x14ac:dyDescent="0.35">
      <c r="A352" s="5"/>
      <c r="B352" s="6"/>
      <c r="C352" s="6"/>
      <c r="D352" s="6"/>
      <c r="E352" s="5"/>
      <c r="F352" s="5"/>
      <c r="G352" s="5"/>
      <c r="H352" s="5"/>
    </row>
    <row r="353" spans="1:8" x14ac:dyDescent="0.35">
      <c r="A353" s="5"/>
      <c r="B353" s="6"/>
      <c r="C353" s="6"/>
      <c r="D353" s="6"/>
      <c r="E353" s="5"/>
      <c r="F353" s="5"/>
      <c r="G353" s="5"/>
      <c r="H353" s="5"/>
    </row>
    <row r="354" spans="1:8" x14ac:dyDescent="0.35">
      <c r="A354" s="5"/>
      <c r="B354" s="6"/>
      <c r="C354" s="6"/>
      <c r="D354" s="6"/>
      <c r="E354" s="5"/>
      <c r="F354" s="5"/>
      <c r="G354" s="5"/>
      <c r="H354" s="5"/>
    </row>
    <row r="355" spans="1:8" x14ac:dyDescent="0.35">
      <c r="A355" s="5"/>
      <c r="B355" s="6"/>
      <c r="C355" s="6"/>
      <c r="D355" s="6"/>
      <c r="E355" s="5"/>
      <c r="F355" s="5"/>
      <c r="G355" s="5"/>
      <c r="H355" s="5"/>
    </row>
    <row r="356" spans="1:8" x14ac:dyDescent="0.35">
      <c r="A356" s="5"/>
      <c r="B356" s="6"/>
      <c r="C356" s="6"/>
      <c r="D356" s="6"/>
      <c r="E356" s="5"/>
      <c r="F356" s="5"/>
      <c r="G356" s="5"/>
      <c r="H356" s="5"/>
    </row>
    <row r="357" spans="1:8" x14ac:dyDescent="0.35">
      <c r="A357" s="5"/>
      <c r="B357" s="6"/>
      <c r="C357" s="6"/>
      <c r="D357" s="6"/>
      <c r="E357" s="5"/>
      <c r="F357" s="5"/>
      <c r="G357" s="5"/>
      <c r="H357" s="5"/>
    </row>
    <row r="358" spans="1:8" x14ac:dyDescent="0.35">
      <c r="A358" s="5"/>
      <c r="B358" s="6"/>
      <c r="C358" s="6"/>
      <c r="D358" s="6"/>
      <c r="E358" s="5"/>
      <c r="F358" s="5"/>
      <c r="G358" s="5"/>
      <c r="H358" s="5"/>
    </row>
    <row r="359" spans="1:8" x14ac:dyDescent="0.35">
      <c r="A359" s="5"/>
      <c r="B359" s="6"/>
      <c r="C359" s="6"/>
      <c r="D359" s="6"/>
      <c r="E359" s="5"/>
      <c r="F359" s="5"/>
      <c r="G359" s="5"/>
      <c r="H359" s="5"/>
    </row>
    <row r="360" spans="1:8" x14ac:dyDescent="0.35">
      <c r="A360" s="5"/>
      <c r="B360" s="6"/>
      <c r="C360" s="6"/>
      <c r="D360" s="6"/>
      <c r="E360" s="5"/>
      <c r="F360" s="5"/>
      <c r="G360" s="5"/>
      <c r="H360" s="5"/>
    </row>
    <row r="361" spans="1:8" x14ac:dyDescent="0.35">
      <c r="A361" s="5"/>
      <c r="B361" s="6"/>
      <c r="C361" s="6"/>
      <c r="D361" s="6"/>
      <c r="E361" s="5"/>
      <c r="F361" s="5"/>
      <c r="G361" s="5"/>
      <c r="H361" s="5"/>
    </row>
    <row r="362" spans="1:8" x14ac:dyDescent="0.35">
      <c r="A362" s="5"/>
      <c r="B362" s="6"/>
      <c r="C362" s="6"/>
      <c r="D362" s="6"/>
      <c r="E362" s="5"/>
      <c r="F362" s="5"/>
      <c r="G362" s="5"/>
      <c r="H362" s="5"/>
    </row>
    <row r="363" spans="1:8" x14ac:dyDescent="0.35">
      <c r="A363" s="5"/>
      <c r="B363" s="6"/>
      <c r="C363" s="6"/>
      <c r="D363" s="6"/>
      <c r="E363" s="5"/>
      <c r="F363" s="5"/>
      <c r="G363" s="5"/>
      <c r="H363" s="5"/>
    </row>
    <row r="364" spans="1:8" x14ac:dyDescent="0.35">
      <c r="A364" s="5"/>
      <c r="B364" s="6"/>
      <c r="C364" s="6"/>
      <c r="D364" s="6"/>
      <c r="E364" s="5"/>
      <c r="F364" s="5"/>
      <c r="G364" s="5"/>
      <c r="H364" s="5"/>
    </row>
    <row r="365" spans="1:8" x14ac:dyDescent="0.35">
      <c r="A365" s="5"/>
      <c r="B365" s="6"/>
      <c r="C365" s="6"/>
      <c r="D365" s="6"/>
      <c r="E365" s="5"/>
      <c r="F365" s="5"/>
      <c r="G365" s="5"/>
      <c r="H365" s="5"/>
    </row>
    <row r="366" spans="1:8" x14ac:dyDescent="0.35">
      <c r="A366" s="5"/>
      <c r="B366" s="6"/>
      <c r="C366" s="6"/>
      <c r="D366" s="6"/>
      <c r="E366" s="5"/>
      <c r="F366" s="5"/>
      <c r="G366" s="5"/>
      <c r="H366" s="5"/>
    </row>
    <row r="367" spans="1:8" x14ac:dyDescent="0.35">
      <c r="A367" s="5"/>
      <c r="B367" s="6"/>
      <c r="C367" s="6"/>
      <c r="D367" s="6"/>
      <c r="E367" s="5"/>
      <c r="F367" s="5"/>
      <c r="G367" s="5"/>
      <c r="H367" s="5"/>
    </row>
    <row r="368" spans="1:8" x14ac:dyDescent="0.35">
      <c r="A368" s="5"/>
      <c r="B368" s="6"/>
      <c r="C368" s="6"/>
      <c r="D368" s="6"/>
      <c r="E368" s="5"/>
      <c r="F368" s="5"/>
      <c r="G368" s="5"/>
      <c r="H368" s="5"/>
    </row>
    <row r="369" spans="1:8" x14ac:dyDescent="0.35">
      <c r="A369" s="5"/>
      <c r="B369" s="6"/>
      <c r="C369" s="6"/>
      <c r="D369" s="6"/>
      <c r="E369" s="5"/>
      <c r="F369" s="5"/>
      <c r="G369" s="5"/>
      <c r="H369" s="5"/>
    </row>
    <row r="370" spans="1:8" x14ac:dyDescent="0.35">
      <c r="A370" s="5"/>
      <c r="B370" s="6"/>
      <c r="C370" s="6"/>
      <c r="D370" s="6"/>
      <c r="E370" s="5"/>
      <c r="F370" s="5"/>
      <c r="G370" s="5"/>
      <c r="H370" s="5"/>
    </row>
    <row r="371" spans="1:8" x14ac:dyDescent="0.35">
      <c r="A371" s="5"/>
      <c r="B371" s="6"/>
      <c r="C371" s="6"/>
      <c r="D371" s="6"/>
      <c r="E371" s="5"/>
      <c r="F371" s="5"/>
      <c r="G371" s="5"/>
      <c r="H371" s="5"/>
    </row>
    <row r="372" spans="1:8" x14ac:dyDescent="0.35">
      <c r="A372" s="5"/>
      <c r="B372" s="6"/>
      <c r="C372" s="6"/>
      <c r="D372" s="6"/>
      <c r="E372" s="5"/>
      <c r="F372" s="5"/>
      <c r="G372" s="5"/>
      <c r="H372" s="5"/>
    </row>
    <row r="373" spans="1:8" x14ac:dyDescent="0.35">
      <c r="A373" s="5"/>
      <c r="B373" s="6"/>
      <c r="C373" s="6"/>
      <c r="D373" s="6"/>
      <c r="E373" s="5"/>
      <c r="F373" s="5"/>
      <c r="G373" s="5"/>
      <c r="H373" s="5"/>
    </row>
    <row r="374" spans="1:8" x14ac:dyDescent="0.35">
      <c r="A374" s="5"/>
      <c r="B374" s="6"/>
      <c r="C374" s="6"/>
      <c r="D374" s="6"/>
      <c r="E374" s="5"/>
      <c r="F374" s="5"/>
      <c r="G374" s="5"/>
      <c r="H374" s="5"/>
    </row>
    <row r="375" spans="1:8" x14ac:dyDescent="0.35">
      <c r="A375" s="5"/>
      <c r="B375" s="6"/>
      <c r="C375" s="6"/>
      <c r="D375" s="6"/>
      <c r="E375" s="5"/>
      <c r="F375" s="5"/>
      <c r="G375" s="5"/>
      <c r="H375" s="5"/>
    </row>
    <row r="376" spans="1:8" x14ac:dyDescent="0.35">
      <c r="A376" s="5"/>
      <c r="B376" s="6"/>
      <c r="C376" s="6"/>
      <c r="D376" s="6"/>
      <c r="E376" s="5"/>
      <c r="F376" s="5"/>
      <c r="G376" s="5"/>
      <c r="H376" s="5"/>
    </row>
    <row r="377" spans="1:8" x14ac:dyDescent="0.35">
      <c r="A377" s="5"/>
      <c r="B377" s="6"/>
      <c r="C377" s="6"/>
      <c r="D377" s="6"/>
      <c r="E377" s="5"/>
      <c r="F377" s="5"/>
      <c r="G377" s="5"/>
      <c r="H377" s="5"/>
    </row>
    <row r="378" spans="1:8" x14ac:dyDescent="0.35">
      <c r="A378" s="5"/>
      <c r="B378" s="6"/>
      <c r="C378" s="6"/>
      <c r="D378" s="6"/>
      <c r="E378" s="5"/>
      <c r="F378" s="5"/>
      <c r="G378" s="5"/>
      <c r="H378" s="5"/>
    </row>
    <row r="379" spans="1:8" x14ac:dyDescent="0.35">
      <c r="A379" s="5"/>
      <c r="B379" s="6"/>
      <c r="C379" s="6"/>
      <c r="D379" s="6"/>
      <c r="E379" s="5"/>
      <c r="F379" s="5"/>
      <c r="G379" s="5"/>
      <c r="H379" s="5"/>
    </row>
    <row r="380" spans="1:8" x14ac:dyDescent="0.35">
      <c r="A380" s="5"/>
      <c r="B380" s="6"/>
      <c r="C380" s="6"/>
      <c r="D380" s="6"/>
      <c r="E380" s="5"/>
      <c r="F380" s="5"/>
      <c r="G380" s="5"/>
      <c r="H380" s="5"/>
    </row>
    <row r="381" spans="1:8" x14ac:dyDescent="0.35">
      <c r="A381" s="5"/>
      <c r="B381" s="6"/>
      <c r="C381" s="6"/>
      <c r="D381" s="6"/>
      <c r="E381" s="5"/>
      <c r="F381" s="5"/>
      <c r="G381" s="5"/>
      <c r="H381" s="5"/>
    </row>
    <row r="382" spans="1:8" x14ac:dyDescent="0.35">
      <c r="A382" s="5"/>
      <c r="B382" s="6"/>
      <c r="C382" s="6"/>
      <c r="D382" s="6"/>
      <c r="E382" s="5"/>
      <c r="F382" s="5"/>
      <c r="G382" s="5"/>
      <c r="H382" s="5"/>
    </row>
    <row r="383" spans="1:8" x14ac:dyDescent="0.35">
      <c r="A383" s="5"/>
      <c r="B383" s="6"/>
      <c r="C383" s="6"/>
      <c r="D383" s="6"/>
      <c r="E383" s="5"/>
      <c r="F383" s="5"/>
      <c r="G383" s="5"/>
      <c r="H383" s="5"/>
    </row>
    <row r="384" spans="1:8" x14ac:dyDescent="0.35">
      <c r="A384" s="5"/>
      <c r="B384" s="6"/>
      <c r="C384" s="6"/>
      <c r="D384" s="6"/>
      <c r="E384" s="5"/>
      <c r="F384" s="5"/>
      <c r="G384" s="5"/>
      <c r="H384" s="5"/>
    </row>
    <row r="385" spans="1:8" x14ac:dyDescent="0.35">
      <c r="A385" s="5"/>
      <c r="B385" s="6"/>
      <c r="C385" s="6"/>
      <c r="D385" s="6"/>
      <c r="E385" s="5"/>
      <c r="F385" s="5"/>
      <c r="G385" s="5"/>
      <c r="H385" s="5"/>
    </row>
    <row r="386" spans="1:8" x14ac:dyDescent="0.35">
      <c r="A386" s="5"/>
      <c r="B386" s="6"/>
      <c r="C386" s="6"/>
      <c r="D386" s="6"/>
      <c r="E386" s="5"/>
      <c r="F386" s="5"/>
      <c r="G386" s="5"/>
      <c r="H386" s="5"/>
    </row>
    <row r="387" spans="1:8" x14ac:dyDescent="0.35">
      <c r="A387" s="5"/>
      <c r="B387" s="6"/>
      <c r="C387" s="6"/>
      <c r="D387" s="6"/>
      <c r="E387" s="5"/>
      <c r="F387" s="5"/>
      <c r="G387" s="5"/>
      <c r="H387" s="5"/>
    </row>
    <row r="388" spans="1:8" x14ac:dyDescent="0.35">
      <c r="A388" s="5"/>
      <c r="B388" s="6"/>
      <c r="C388" s="6"/>
      <c r="D388" s="6"/>
      <c r="E388" s="5"/>
      <c r="F388" s="5"/>
      <c r="G388" s="5"/>
      <c r="H388" s="5"/>
    </row>
    <row r="389" spans="1:8" x14ac:dyDescent="0.35">
      <c r="A389" s="5"/>
      <c r="B389" s="6"/>
      <c r="C389" s="6"/>
      <c r="D389" s="6"/>
      <c r="E389" s="5"/>
      <c r="F389" s="5"/>
      <c r="G389" s="5"/>
      <c r="H389" s="5"/>
    </row>
    <row r="390" spans="1:8" x14ac:dyDescent="0.35">
      <c r="A390" s="5"/>
      <c r="B390" s="6"/>
      <c r="C390" s="6"/>
      <c r="D390" s="6"/>
      <c r="E390" s="5"/>
      <c r="F390" s="5"/>
      <c r="G390" s="5"/>
      <c r="H390" s="5"/>
    </row>
    <row r="391" spans="1:8" x14ac:dyDescent="0.35">
      <c r="A391" s="5"/>
      <c r="B391" s="6"/>
      <c r="C391" s="6"/>
      <c r="D391" s="6"/>
      <c r="E391" s="5"/>
      <c r="F391" s="5"/>
      <c r="G391" s="5"/>
      <c r="H391" s="5"/>
    </row>
    <row r="392" spans="1:8" x14ac:dyDescent="0.35">
      <c r="A392" s="5"/>
      <c r="B392" s="6"/>
      <c r="C392" s="6"/>
      <c r="D392" s="6"/>
      <c r="E392" s="5"/>
      <c r="F392" s="5"/>
      <c r="G392" s="5"/>
      <c r="H392" s="5"/>
    </row>
    <row r="393" spans="1:8" x14ac:dyDescent="0.35">
      <c r="A393" s="5"/>
      <c r="B393" s="6"/>
      <c r="C393" s="6"/>
      <c r="D393" s="6"/>
      <c r="E393" s="5"/>
      <c r="F393" s="5"/>
      <c r="G393" s="5"/>
      <c r="H393" s="5"/>
    </row>
    <row r="394" spans="1:8" x14ac:dyDescent="0.35">
      <c r="A394" s="5"/>
      <c r="B394" s="6"/>
      <c r="C394" s="6"/>
      <c r="D394" s="6"/>
      <c r="E394" s="5"/>
      <c r="F394" s="5"/>
      <c r="G394" s="5"/>
      <c r="H394" s="5"/>
    </row>
    <row r="395" spans="1:8" x14ac:dyDescent="0.35">
      <c r="A395" s="5"/>
      <c r="B395" s="6"/>
      <c r="C395" s="6"/>
      <c r="D395" s="6"/>
      <c r="E395" s="5"/>
      <c r="F395" s="5"/>
      <c r="G395" s="5"/>
      <c r="H395" s="5"/>
    </row>
    <row r="396" spans="1:8" x14ac:dyDescent="0.35">
      <c r="A396" s="5"/>
      <c r="B396" s="6"/>
      <c r="C396" s="6"/>
      <c r="D396" s="6"/>
      <c r="E396" s="5"/>
      <c r="F396" s="5"/>
      <c r="G396" s="5"/>
      <c r="H396" s="5"/>
    </row>
    <row r="397" spans="1:8" x14ac:dyDescent="0.35">
      <c r="A397" s="5"/>
      <c r="B397" s="6"/>
      <c r="C397" s="6"/>
      <c r="D397" s="6"/>
      <c r="E397" s="5"/>
      <c r="F397" s="5"/>
      <c r="G397" s="5"/>
      <c r="H397" s="5"/>
    </row>
    <row r="398" spans="1:8" x14ac:dyDescent="0.35">
      <c r="A398" s="5"/>
      <c r="B398" s="6"/>
      <c r="C398" s="6"/>
      <c r="D398" s="6"/>
      <c r="E398" s="5"/>
      <c r="F398" s="5"/>
      <c r="G398" s="5"/>
      <c r="H398" s="5"/>
    </row>
    <row r="399" spans="1:8" x14ac:dyDescent="0.35">
      <c r="A399" s="5"/>
      <c r="B399" s="6"/>
      <c r="C399" s="6"/>
      <c r="D399" s="6"/>
      <c r="E399" s="5"/>
      <c r="F399" s="5"/>
      <c r="G399" s="5"/>
      <c r="H399" s="5"/>
    </row>
    <row r="400" spans="1:8" x14ac:dyDescent="0.35">
      <c r="A400" s="5"/>
      <c r="B400" s="6"/>
      <c r="C400" s="6"/>
      <c r="D400" s="6"/>
      <c r="E400" s="5"/>
      <c r="F400" s="5"/>
      <c r="G400" s="5"/>
      <c r="H400" s="5"/>
    </row>
    <row r="401" spans="1:8" x14ac:dyDescent="0.35">
      <c r="A401" s="5"/>
      <c r="B401" s="6"/>
      <c r="C401" s="6"/>
      <c r="D401" s="6"/>
      <c r="E401" s="5"/>
      <c r="F401" s="5"/>
      <c r="G401" s="5"/>
      <c r="H401" s="5"/>
    </row>
    <row r="402" spans="1:8" x14ac:dyDescent="0.35">
      <c r="A402" s="5"/>
      <c r="B402" s="6"/>
      <c r="C402" s="6"/>
      <c r="D402" s="6"/>
      <c r="E402" s="5"/>
      <c r="F402" s="5"/>
      <c r="G402" s="5"/>
      <c r="H402" s="5"/>
    </row>
    <row r="403" spans="1:8" x14ac:dyDescent="0.35">
      <c r="A403" s="5"/>
      <c r="B403" s="6"/>
      <c r="C403" s="6"/>
      <c r="D403" s="6"/>
      <c r="E403" s="5"/>
      <c r="F403" s="5"/>
      <c r="G403" s="5"/>
      <c r="H403" s="5"/>
    </row>
    <row r="404" spans="1:8" x14ac:dyDescent="0.35">
      <c r="A404" s="5"/>
      <c r="B404" s="6"/>
      <c r="C404" s="6"/>
      <c r="D404" s="6"/>
      <c r="E404" s="5"/>
      <c r="F404" s="5"/>
      <c r="G404" s="5"/>
      <c r="H404" s="5"/>
    </row>
    <row r="405" spans="1:8" x14ac:dyDescent="0.35">
      <c r="A405" s="5"/>
      <c r="B405" s="6"/>
      <c r="C405" s="6"/>
      <c r="D405" s="6"/>
      <c r="E405" s="5"/>
      <c r="F405" s="5"/>
      <c r="G405" s="5"/>
      <c r="H405" s="5"/>
    </row>
    <row r="406" spans="1:8" x14ac:dyDescent="0.35">
      <c r="A406" s="5"/>
      <c r="B406" s="6"/>
      <c r="C406" s="6"/>
      <c r="D406" s="6"/>
      <c r="E406" s="5"/>
      <c r="F406" s="5"/>
      <c r="G406" s="5"/>
      <c r="H406" s="5"/>
    </row>
    <row r="407" spans="1:8" x14ac:dyDescent="0.35">
      <c r="A407" s="5"/>
      <c r="B407" s="6"/>
      <c r="C407" s="6"/>
      <c r="D407" s="6"/>
      <c r="E407" s="5"/>
      <c r="F407" s="5"/>
      <c r="G407" s="5"/>
      <c r="H407" s="5"/>
    </row>
    <row r="408" spans="1:8" x14ac:dyDescent="0.35">
      <c r="A408" s="5"/>
      <c r="B408" s="6"/>
      <c r="C408" s="6"/>
      <c r="D408" s="6"/>
      <c r="E408" s="5"/>
      <c r="F408" s="5"/>
      <c r="G408" s="5"/>
      <c r="H408" s="5"/>
    </row>
    <row r="409" spans="1:8" x14ac:dyDescent="0.35">
      <c r="A409" s="5"/>
      <c r="B409" s="6"/>
      <c r="C409" s="6"/>
      <c r="D409" s="6"/>
      <c r="E409" s="5"/>
      <c r="F409" s="5"/>
      <c r="G409" s="5"/>
      <c r="H409" s="5"/>
    </row>
    <row r="410" spans="1:8" x14ac:dyDescent="0.35">
      <c r="A410" s="5"/>
      <c r="B410" s="6"/>
      <c r="C410" s="6"/>
      <c r="D410" s="6"/>
      <c r="E410" s="5"/>
      <c r="F410" s="5"/>
      <c r="G410" s="5"/>
      <c r="H410" s="5"/>
    </row>
    <row r="411" spans="1:8" x14ac:dyDescent="0.35">
      <c r="A411" s="5"/>
      <c r="B411" s="6"/>
      <c r="C411" s="6"/>
      <c r="D411" s="6"/>
      <c r="E411" s="5"/>
      <c r="F411" s="5"/>
      <c r="G411" s="5"/>
      <c r="H411" s="5"/>
    </row>
    <row r="412" spans="1:8" x14ac:dyDescent="0.35">
      <c r="A412" s="5"/>
      <c r="B412" s="6"/>
      <c r="C412" s="6"/>
      <c r="D412" s="6"/>
      <c r="E412" s="5"/>
      <c r="F412" s="5"/>
      <c r="G412" s="5"/>
      <c r="H412" s="5"/>
    </row>
    <row r="413" spans="1:8" x14ac:dyDescent="0.35">
      <c r="A413" s="5"/>
      <c r="B413" s="6"/>
      <c r="C413" s="6"/>
      <c r="D413" s="6"/>
      <c r="E413" s="5"/>
      <c r="F413" s="5"/>
      <c r="G413" s="5"/>
      <c r="H413" s="5"/>
    </row>
    <row r="414" spans="1:8" x14ac:dyDescent="0.35">
      <c r="A414" s="5"/>
      <c r="B414" s="6"/>
      <c r="C414" s="6"/>
      <c r="D414" s="6"/>
      <c r="E414" s="5"/>
      <c r="F414" s="5"/>
      <c r="G414" s="5"/>
      <c r="H414" s="5"/>
    </row>
    <row r="415" spans="1:8" x14ac:dyDescent="0.35">
      <c r="A415" s="5"/>
      <c r="B415" s="6"/>
      <c r="C415" s="6"/>
      <c r="D415" s="6"/>
      <c r="E415" s="5"/>
      <c r="F415" s="5"/>
      <c r="G415" s="5"/>
      <c r="H415" s="5"/>
    </row>
    <row r="416" spans="1:8" x14ac:dyDescent="0.35">
      <c r="A416" s="5"/>
      <c r="B416" s="6"/>
      <c r="C416" s="6"/>
      <c r="D416" s="6"/>
      <c r="E416" s="5"/>
      <c r="F416" s="5"/>
      <c r="G416" s="5"/>
      <c r="H416" s="5"/>
    </row>
    <row r="417" spans="1:8" x14ac:dyDescent="0.35">
      <c r="A417" s="5"/>
      <c r="B417" s="6"/>
      <c r="C417" s="6"/>
      <c r="D417" s="6"/>
      <c r="E417" s="5"/>
      <c r="F417" s="5"/>
      <c r="G417" s="5"/>
      <c r="H417" s="5"/>
    </row>
    <row r="418" spans="1:8" x14ac:dyDescent="0.35">
      <c r="A418" s="5"/>
      <c r="B418" s="6"/>
      <c r="C418" s="6"/>
      <c r="D418" s="6"/>
      <c r="E418" s="5"/>
      <c r="F418" s="5"/>
      <c r="G418" s="5"/>
      <c r="H418" s="5"/>
    </row>
    <row r="419" spans="1:8" x14ac:dyDescent="0.35">
      <c r="A419" s="5"/>
      <c r="B419" s="6"/>
      <c r="C419" s="6"/>
      <c r="D419" s="6"/>
      <c r="E419" s="5"/>
      <c r="F419" s="5"/>
      <c r="G419" s="5"/>
      <c r="H419" s="5"/>
    </row>
    <row r="420" spans="1:8" x14ac:dyDescent="0.35">
      <c r="A420" s="5"/>
      <c r="B420" s="6"/>
      <c r="C420" s="6"/>
      <c r="D420" s="6"/>
      <c r="E420" s="5"/>
      <c r="F420" s="5"/>
      <c r="G420" s="5"/>
      <c r="H420" s="5"/>
    </row>
    <row r="421" spans="1:8" x14ac:dyDescent="0.35">
      <c r="A421" s="5"/>
      <c r="B421" s="6"/>
      <c r="C421" s="6"/>
      <c r="D421" s="6"/>
      <c r="E421" s="5"/>
      <c r="F421" s="5"/>
      <c r="G421" s="5"/>
      <c r="H421" s="5"/>
    </row>
    <row r="422" spans="1:8" x14ac:dyDescent="0.35">
      <c r="A422" s="5"/>
      <c r="B422" s="6"/>
      <c r="C422" s="6"/>
      <c r="D422" s="6"/>
      <c r="E422" s="5"/>
      <c r="F422" s="5"/>
      <c r="G422" s="5"/>
      <c r="H422" s="5"/>
    </row>
    <row r="423" spans="1:8" x14ac:dyDescent="0.35">
      <c r="A423" s="5"/>
      <c r="B423" s="6"/>
      <c r="C423" s="6"/>
      <c r="D423" s="6"/>
      <c r="E423" s="5"/>
      <c r="F423" s="5"/>
      <c r="G423" s="5"/>
      <c r="H423" s="5"/>
    </row>
    <row r="424" spans="1:8" x14ac:dyDescent="0.35">
      <c r="A424" s="5"/>
      <c r="B424" s="6"/>
      <c r="C424" s="6"/>
      <c r="D424" s="6"/>
      <c r="E424" s="5"/>
      <c r="F424" s="5"/>
      <c r="G424" s="5"/>
      <c r="H424" s="5"/>
    </row>
    <row r="425" spans="1:8" x14ac:dyDescent="0.35">
      <c r="A425" s="5"/>
      <c r="B425" s="6"/>
      <c r="C425" s="6"/>
      <c r="D425" s="6"/>
      <c r="E425" s="5"/>
      <c r="F425" s="5"/>
      <c r="G425" s="5"/>
      <c r="H425" s="5"/>
    </row>
    <row r="426" spans="1:8" x14ac:dyDescent="0.35">
      <c r="A426" s="5"/>
      <c r="B426" s="6"/>
      <c r="C426" s="6"/>
      <c r="D426" s="6"/>
      <c r="E426" s="5"/>
      <c r="F426" s="5"/>
      <c r="G426" s="5"/>
      <c r="H426" s="5"/>
    </row>
    <row r="427" spans="1:8" x14ac:dyDescent="0.35">
      <c r="A427" s="5"/>
      <c r="B427" s="6"/>
      <c r="C427" s="6"/>
      <c r="D427" s="6"/>
      <c r="E427" s="5"/>
      <c r="F427" s="5"/>
      <c r="G427" s="5"/>
      <c r="H427" s="5"/>
    </row>
    <row r="428" spans="1:8" x14ac:dyDescent="0.35">
      <c r="A428" s="5"/>
      <c r="B428" s="6"/>
      <c r="C428" s="6"/>
      <c r="D428" s="6"/>
      <c r="E428" s="5"/>
      <c r="F428" s="5"/>
      <c r="G428" s="5"/>
      <c r="H428" s="5"/>
    </row>
    <row r="429" spans="1:8" x14ac:dyDescent="0.35">
      <c r="A429" s="5"/>
      <c r="B429" s="6"/>
      <c r="C429" s="6"/>
      <c r="D429" s="6"/>
      <c r="E429" s="5"/>
      <c r="F429" s="5"/>
      <c r="G429" s="5"/>
      <c r="H429" s="5"/>
    </row>
    <row r="430" spans="1:8" x14ac:dyDescent="0.35">
      <c r="A430" s="5"/>
      <c r="B430" s="6"/>
      <c r="C430" s="6"/>
      <c r="D430" s="6"/>
      <c r="E430" s="5"/>
      <c r="F430" s="5"/>
      <c r="G430" s="5"/>
      <c r="H430" s="5"/>
    </row>
    <row r="431" spans="1:8" x14ac:dyDescent="0.35">
      <c r="A431" s="5"/>
      <c r="B431" s="6"/>
      <c r="C431" s="6"/>
      <c r="D431" s="6"/>
      <c r="E431" s="5"/>
      <c r="F431" s="5"/>
      <c r="G431" s="5"/>
      <c r="H431" s="5"/>
    </row>
    <row r="432" spans="1:8" x14ac:dyDescent="0.35">
      <c r="A432" s="5"/>
      <c r="B432" s="6"/>
      <c r="C432" s="6"/>
      <c r="D432" s="6"/>
      <c r="E432" s="5"/>
      <c r="F432" s="5"/>
      <c r="G432" s="5"/>
      <c r="H432" s="5"/>
    </row>
    <row r="433" spans="1:8" x14ac:dyDescent="0.35">
      <c r="A433" s="5"/>
      <c r="B433" s="6"/>
      <c r="C433" s="6"/>
      <c r="D433" s="6"/>
      <c r="E433" s="5"/>
      <c r="F433" s="5"/>
      <c r="G433" s="5"/>
      <c r="H433" s="5"/>
    </row>
    <row r="434" spans="1:8" x14ac:dyDescent="0.35">
      <c r="A434" s="5"/>
      <c r="B434" s="6"/>
      <c r="C434" s="6"/>
      <c r="D434" s="6"/>
      <c r="E434" s="5"/>
      <c r="F434" s="5"/>
      <c r="G434" s="5"/>
      <c r="H434" s="5"/>
    </row>
    <row r="435" spans="1:8" x14ac:dyDescent="0.35">
      <c r="A435" s="5"/>
      <c r="B435" s="6"/>
      <c r="C435" s="6"/>
      <c r="D435" s="6"/>
      <c r="E435" s="5"/>
      <c r="F435" s="5"/>
      <c r="G435" s="5"/>
      <c r="H435" s="5"/>
    </row>
    <row r="436" spans="1:8" x14ac:dyDescent="0.35">
      <c r="A436" s="5"/>
      <c r="B436" s="6"/>
      <c r="C436" s="6"/>
      <c r="D436" s="6"/>
      <c r="E436" s="5"/>
      <c r="F436" s="5"/>
      <c r="G436" s="5"/>
      <c r="H436" s="5"/>
    </row>
    <row r="437" spans="1:8" x14ac:dyDescent="0.35">
      <c r="A437" s="5"/>
      <c r="B437" s="6"/>
      <c r="C437" s="6"/>
      <c r="D437" s="6"/>
      <c r="E437" s="5"/>
      <c r="F437" s="5"/>
      <c r="G437" s="5"/>
      <c r="H437" s="5"/>
    </row>
    <row r="438" spans="1:8" x14ac:dyDescent="0.35">
      <c r="A438" s="5"/>
      <c r="B438" s="6"/>
      <c r="C438" s="6"/>
      <c r="D438" s="6"/>
      <c r="E438" s="5"/>
      <c r="F438" s="5"/>
      <c r="G438" s="5"/>
      <c r="H438" s="5"/>
    </row>
    <row r="439" spans="1:8" x14ac:dyDescent="0.35">
      <c r="A439" s="5"/>
      <c r="B439" s="6"/>
      <c r="C439" s="6"/>
      <c r="D439" s="6"/>
      <c r="E439" s="5"/>
      <c r="F439" s="5"/>
      <c r="G439" s="5"/>
      <c r="H439" s="5"/>
    </row>
    <row r="440" spans="1:8" x14ac:dyDescent="0.35">
      <c r="A440" s="5"/>
      <c r="B440" s="6"/>
      <c r="C440" s="6"/>
      <c r="D440" s="6"/>
      <c r="E440" s="5"/>
      <c r="F440" s="5"/>
      <c r="G440" s="5"/>
      <c r="H440" s="5"/>
    </row>
    <row r="441" spans="1:8" x14ac:dyDescent="0.35">
      <c r="A441" s="5"/>
      <c r="B441" s="6"/>
      <c r="C441" s="6"/>
      <c r="D441" s="6"/>
      <c r="E441" s="5"/>
      <c r="F441" s="5"/>
      <c r="G441" s="5"/>
      <c r="H441" s="5"/>
    </row>
    <row r="442" spans="1:8" x14ac:dyDescent="0.35">
      <c r="A442" s="5"/>
      <c r="B442" s="6"/>
      <c r="C442" s="6"/>
      <c r="D442" s="6"/>
      <c r="E442" s="5"/>
      <c r="F442" s="5"/>
      <c r="G442" s="5"/>
      <c r="H442" s="5"/>
    </row>
    <row r="443" spans="1:8" x14ac:dyDescent="0.35">
      <c r="A443" s="5"/>
      <c r="B443" s="6"/>
      <c r="C443" s="6"/>
      <c r="D443" s="6"/>
      <c r="E443" s="5"/>
      <c r="F443" s="5"/>
      <c r="G443" s="5"/>
      <c r="H443" s="5"/>
    </row>
    <row r="444" spans="1:8" x14ac:dyDescent="0.35">
      <c r="A444" s="5"/>
      <c r="B444" s="6"/>
      <c r="C444" s="6"/>
      <c r="D444" s="6"/>
      <c r="E444" s="5"/>
      <c r="F444" s="5"/>
      <c r="G444" s="5"/>
      <c r="H444" s="5"/>
    </row>
    <row r="445" spans="1:8" x14ac:dyDescent="0.35">
      <c r="A445" s="5"/>
      <c r="B445" s="6"/>
      <c r="C445" s="6"/>
      <c r="D445" s="6"/>
      <c r="E445" s="5"/>
      <c r="F445" s="5"/>
      <c r="G445" s="5"/>
      <c r="H445" s="5"/>
    </row>
    <row r="446" spans="1:8" x14ac:dyDescent="0.35">
      <c r="A446" s="5"/>
      <c r="B446" s="6"/>
      <c r="C446" s="6"/>
      <c r="D446" s="6"/>
      <c r="E446" s="5"/>
      <c r="F446" s="5"/>
      <c r="G446" s="5"/>
      <c r="H446" s="5"/>
    </row>
    <row r="447" spans="1:8" x14ac:dyDescent="0.35">
      <c r="A447" s="5"/>
      <c r="B447" s="6"/>
      <c r="C447" s="6"/>
      <c r="D447" s="6"/>
      <c r="E447" s="5"/>
      <c r="F447" s="5"/>
      <c r="G447" s="5"/>
      <c r="H447" s="5"/>
    </row>
    <row r="448" spans="1:8" x14ac:dyDescent="0.35">
      <c r="A448" s="5"/>
      <c r="B448" s="6"/>
      <c r="C448" s="6"/>
      <c r="D448" s="6"/>
      <c r="E448" s="5"/>
      <c r="F448" s="5"/>
      <c r="G448" s="5"/>
      <c r="H448" s="5"/>
    </row>
    <row r="449" spans="1:8" x14ac:dyDescent="0.35">
      <c r="A449" s="5"/>
      <c r="B449" s="6"/>
      <c r="C449" s="6"/>
      <c r="D449" s="6"/>
      <c r="E449" s="5"/>
      <c r="F449" s="5"/>
      <c r="G449" s="5"/>
      <c r="H449" s="5"/>
    </row>
    <row r="450" spans="1:8" x14ac:dyDescent="0.35">
      <c r="A450" s="5"/>
      <c r="B450" s="6"/>
      <c r="C450" s="6"/>
      <c r="D450" s="6"/>
      <c r="E450" s="5"/>
      <c r="F450" s="5"/>
      <c r="G450" s="5"/>
      <c r="H450" s="5"/>
    </row>
    <row r="451" spans="1:8" x14ac:dyDescent="0.35">
      <c r="A451" s="5"/>
      <c r="B451" s="6"/>
      <c r="C451" s="6"/>
      <c r="D451" s="6"/>
      <c r="E451" s="5"/>
      <c r="F451" s="5"/>
      <c r="G451" s="5"/>
      <c r="H451" s="5"/>
    </row>
    <row r="452" spans="1:8" x14ac:dyDescent="0.35">
      <c r="A452" s="5"/>
      <c r="B452" s="6"/>
      <c r="C452" s="6"/>
      <c r="D452" s="6"/>
      <c r="E452" s="5"/>
      <c r="F452" s="5"/>
      <c r="G452" s="5"/>
      <c r="H452" s="5"/>
    </row>
    <row r="453" spans="1:8" x14ac:dyDescent="0.35">
      <c r="A453" s="5"/>
      <c r="B453" s="6"/>
      <c r="C453" s="6"/>
      <c r="D453" s="6"/>
      <c r="E453" s="5"/>
      <c r="F453" s="5"/>
      <c r="G453" s="5"/>
      <c r="H453" s="5"/>
    </row>
    <row r="454" spans="1:8" x14ac:dyDescent="0.35">
      <c r="A454" s="5"/>
      <c r="B454" s="6"/>
      <c r="C454" s="6"/>
      <c r="D454" s="6"/>
      <c r="E454" s="5"/>
      <c r="F454" s="5"/>
      <c r="G454" s="5"/>
      <c r="H454" s="5"/>
    </row>
    <row r="455" spans="1:8" x14ac:dyDescent="0.35">
      <c r="A455" s="5"/>
      <c r="B455" s="6"/>
      <c r="C455" s="6"/>
      <c r="D455" s="6"/>
      <c r="E455" s="5"/>
      <c r="F455" s="5"/>
      <c r="G455" s="5"/>
      <c r="H455" s="5"/>
    </row>
    <row r="456" spans="1:8" x14ac:dyDescent="0.35">
      <c r="A456" s="5"/>
      <c r="B456" s="6"/>
      <c r="C456" s="6"/>
      <c r="D456" s="6"/>
      <c r="E456" s="5"/>
      <c r="F456" s="5"/>
      <c r="G456" s="5"/>
      <c r="H456" s="5"/>
    </row>
    <row r="457" spans="1:8" x14ac:dyDescent="0.35">
      <c r="A457" s="5"/>
      <c r="B457" s="6"/>
      <c r="C457" s="6"/>
      <c r="D457" s="6"/>
      <c r="E457" s="5"/>
      <c r="F457" s="5"/>
      <c r="G457" s="5"/>
      <c r="H457" s="5"/>
    </row>
    <row r="458" spans="1:8" x14ac:dyDescent="0.35">
      <c r="A458" s="5"/>
      <c r="B458" s="6"/>
      <c r="C458" s="6"/>
      <c r="D458" s="6"/>
      <c r="E458" s="5"/>
      <c r="F458" s="5"/>
      <c r="G458" s="5"/>
      <c r="H458" s="5"/>
    </row>
    <row r="459" spans="1:8" x14ac:dyDescent="0.35">
      <c r="A459" s="5"/>
      <c r="B459" s="6"/>
      <c r="C459" s="6"/>
      <c r="D459" s="6"/>
      <c r="E459" s="5"/>
      <c r="F459" s="5"/>
      <c r="G459" s="5"/>
      <c r="H459" s="5"/>
    </row>
    <row r="460" spans="1:8" x14ac:dyDescent="0.35">
      <c r="A460" s="5"/>
      <c r="B460" s="6"/>
      <c r="C460" s="6"/>
      <c r="D460" s="6"/>
      <c r="E460" s="5"/>
      <c r="F460" s="5"/>
      <c r="G460" s="5"/>
      <c r="H460" s="5"/>
    </row>
    <row r="461" spans="1:8" x14ac:dyDescent="0.35">
      <c r="A461" s="5"/>
      <c r="B461" s="6"/>
      <c r="C461" s="6"/>
      <c r="D461" s="6"/>
      <c r="E461" s="5"/>
      <c r="F461" s="5"/>
      <c r="G461" s="5"/>
      <c r="H461" s="5"/>
    </row>
    <row r="462" spans="1:8" x14ac:dyDescent="0.35">
      <c r="A462" s="5"/>
      <c r="B462" s="6"/>
      <c r="C462" s="6"/>
      <c r="D462" s="6"/>
      <c r="E462" s="5"/>
      <c r="F462" s="5"/>
      <c r="G462" s="5"/>
      <c r="H462" s="5"/>
    </row>
    <row r="463" spans="1:8" x14ac:dyDescent="0.35">
      <c r="A463" s="5"/>
      <c r="B463" s="6"/>
      <c r="C463" s="6"/>
      <c r="D463" s="6"/>
      <c r="E463" s="5"/>
      <c r="F463" s="5"/>
      <c r="G463" s="5"/>
      <c r="H463" s="5"/>
    </row>
    <row r="464" spans="1:8" x14ac:dyDescent="0.35">
      <c r="A464" s="5"/>
      <c r="B464" s="6"/>
      <c r="C464" s="6"/>
      <c r="D464" s="6"/>
      <c r="E464" s="5"/>
      <c r="F464" s="5"/>
      <c r="G464" s="5"/>
      <c r="H464" s="5"/>
    </row>
    <row r="465" spans="1:8" x14ac:dyDescent="0.35">
      <c r="A465" s="5"/>
      <c r="B465" s="6"/>
      <c r="C465" s="6"/>
      <c r="D465" s="6"/>
      <c r="E465" s="5"/>
      <c r="F465" s="5"/>
      <c r="G465" s="5"/>
      <c r="H465" s="5"/>
    </row>
    <row r="466" spans="1:8" x14ac:dyDescent="0.35">
      <c r="A466" s="5"/>
      <c r="B466" s="6"/>
      <c r="C466" s="6"/>
      <c r="D466" s="6"/>
      <c r="E466" s="5"/>
      <c r="F466" s="5"/>
      <c r="G466" s="5"/>
      <c r="H466" s="5"/>
    </row>
    <row r="467" spans="1:8" x14ac:dyDescent="0.35">
      <c r="A467" s="5"/>
      <c r="B467" s="6"/>
      <c r="C467" s="6"/>
      <c r="D467" s="6"/>
      <c r="E467" s="5"/>
      <c r="F467" s="5"/>
      <c r="G467" s="5"/>
      <c r="H467" s="5"/>
    </row>
    <row r="468" spans="1:8" x14ac:dyDescent="0.35">
      <c r="A468" s="5"/>
      <c r="B468" s="6"/>
      <c r="C468" s="6"/>
      <c r="D468" s="6"/>
      <c r="E468" s="5"/>
      <c r="F468" s="5"/>
      <c r="G468" s="5"/>
      <c r="H468" s="5"/>
    </row>
    <row r="469" spans="1:8" x14ac:dyDescent="0.35">
      <c r="A469" s="5"/>
      <c r="B469" s="6"/>
      <c r="C469" s="6"/>
      <c r="D469" s="6"/>
      <c r="E469" s="5"/>
      <c r="F469" s="5"/>
      <c r="G469" s="5"/>
      <c r="H469" s="5"/>
    </row>
    <row r="470" spans="1:8" x14ac:dyDescent="0.35">
      <c r="A470" s="5"/>
      <c r="B470" s="6"/>
      <c r="C470" s="6"/>
      <c r="D470" s="6"/>
      <c r="E470" s="5"/>
      <c r="F470" s="5"/>
      <c r="G470" s="5"/>
      <c r="H470" s="5"/>
    </row>
    <row r="471" spans="1:8" x14ac:dyDescent="0.35">
      <c r="A471" s="5"/>
      <c r="B471" s="6"/>
      <c r="C471" s="6"/>
      <c r="D471" s="6"/>
      <c r="E471" s="5"/>
      <c r="F471" s="5"/>
      <c r="G471" s="5"/>
      <c r="H471" s="5"/>
    </row>
    <row r="472" spans="1:8" x14ac:dyDescent="0.35">
      <c r="A472" s="5"/>
      <c r="B472" s="6"/>
      <c r="C472" s="6"/>
      <c r="D472" s="6"/>
      <c r="E472" s="5"/>
      <c r="F472" s="5"/>
      <c r="G472" s="5"/>
      <c r="H472" s="5"/>
    </row>
    <row r="473" spans="1:8" x14ac:dyDescent="0.35">
      <c r="A473" s="5"/>
      <c r="B473" s="6"/>
      <c r="C473" s="6"/>
      <c r="D473" s="6"/>
      <c r="E473" s="5"/>
      <c r="F473" s="5"/>
      <c r="G473" s="5"/>
      <c r="H473" s="5"/>
    </row>
    <row r="474" spans="1:8" x14ac:dyDescent="0.35">
      <c r="A474" s="5"/>
      <c r="B474" s="6"/>
      <c r="C474" s="6"/>
      <c r="D474" s="6"/>
      <c r="E474" s="5"/>
      <c r="F474" s="5"/>
      <c r="G474" s="5"/>
      <c r="H474" s="5"/>
    </row>
    <row r="475" spans="1:8" x14ac:dyDescent="0.35">
      <c r="A475" s="5"/>
      <c r="B475" s="6"/>
      <c r="C475" s="6"/>
      <c r="D475" s="6"/>
      <c r="E475" s="5"/>
      <c r="F475" s="5"/>
      <c r="G475" s="5"/>
      <c r="H475" s="5"/>
    </row>
    <row r="476" spans="1:8" x14ac:dyDescent="0.35">
      <c r="A476" s="5"/>
      <c r="B476" s="6"/>
      <c r="C476" s="6"/>
      <c r="D476" s="6"/>
      <c r="E476" s="5"/>
      <c r="F476" s="5"/>
      <c r="G476" s="5"/>
      <c r="H476" s="5"/>
    </row>
    <row r="477" spans="1:8" x14ac:dyDescent="0.35">
      <c r="A477" s="5"/>
      <c r="B477" s="6"/>
      <c r="C477" s="6"/>
      <c r="D477" s="6"/>
      <c r="E477" s="5"/>
      <c r="F477" s="5"/>
      <c r="G477" s="5"/>
      <c r="H477" s="5"/>
    </row>
    <row r="478" spans="1:8" x14ac:dyDescent="0.35">
      <c r="A478" s="5"/>
      <c r="B478" s="6"/>
      <c r="C478" s="6"/>
      <c r="D478" s="6"/>
      <c r="E478" s="5"/>
      <c r="F478" s="5"/>
      <c r="G478" s="5"/>
      <c r="H478" s="5"/>
    </row>
    <row r="479" spans="1:8" x14ac:dyDescent="0.35">
      <c r="A479" s="5"/>
      <c r="B479" s="6"/>
      <c r="C479" s="6"/>
      <c r="D479" s="6"/>
      <c r="E479" s="5"/>
      <c r="F479" s="5"/>
      <c r="G479" s="5"/>
      <c r="H479" s="5"/>
    </row>
    <row r="480" spans="1:8" x14ac:dyDescent="0.35">
      <c r="A480" s="5"/>
      <c r="B480" s="6"/>
      <c r="C480" s="6"/>
      <c r="D480" s="6"/>
      <c r="E480" s="5"/>
      <c r="F480" s="5"/>
      <c r="G480" s="5"/>
      <c r="H480" s="5"/>
    </row>
    <row r="481" spans="1:8" x14ac:dyDescent="0.35">
      <c r="A481" s="5"/>
      <c r="B481" s="6"/>
      <c r="C481" s="6"/>
      <c r="D481" s="6"/>
      <c r="E481" s="5"/>
      <c r="F481" s="5"/>
      <c r="G481" s="5"/>
      <c r="H481" s="5"/>
    </row>
    <row r="482" spans="1:8" x14ac:dyDescent="0.35">
      <c r="A482" s="5"/>
      <c r="B482" s="6"/>
      <c r="C482" s="6"/>
      <c r="D482" s="6"/>
      <c r="E482" s="5"/>
      <c r="F482" s="5"/>
      <c r="G482" s="5"/>
      <c r="H482" s="5"/>
    </row>
    <row r="483" spans="1:8" x14ac:dyDescent="0.35">
      <c r="A483" s="5"/>
      <c r="B483" s="6"/>
      <c r="C483" s="6"/>
      <c r="D483" s="6"/>
      <c r="E483" s="5"/>
      <c r="F483" s="5"/>
      <c r="G483" s="5"/>
      <c r="H483" s="5"/>
    </row>
    <row r="484" spans="1:8" x14ac:dyDescent="0.35">
      <c r="A484" s="5"/>
      <c r="B484" s="6"/>
      <c r="C484" s="6"/>
      <c r="D484" s="6"/>
      <c r="E484" s="5"/>
      <c r="F484" s="5"/>
      <c r="G484" s="5"/>
      <c r="H484" s="5"/>
    </row>
    <row r="485" spans="1:8" x14ac:dyDescent="0.35">
      <c r="A485" s="5"/>
      <c r="B485" s="6"/>
      <c r="C485" s="6"/>
      <c r="D485" s="6"/>
      <c r="E485" s="5"/>
      <c r="F485" s="5"/>
      <c r="G485" s="5"/>
      <c r="H485" s="5"/>
    </row>
    <row r="486" spans="1:8" x14ac:dyDescent="0.35">
      <c r="A486" s="5"/>
      <c r="B486" s="6"/>
      <c r="C486" s="6"/>
      <c r="D486" s="6"/>
      <c r="E486" s="5"/>
      <c r="F486" s="5"/>
      <c r="G486" s="5"/>
      <c r="H486" s="5"/>
    </row>
    <row r="487" spans="1:8" x14ac:dyDescent="0.35">
      <c r="A487" s="5"/>
      <c r="B487" s="6"/>
      <c r="C487" s="6"/>
      <c r="D487" s="6"/>
      <c r="E487" s="5"/>
      <c r="F487" s="5"/>
      <c r="G487" s="5"/>
      <c r="H487" s="5"/>
    </row>
    <row r="488" spans="1:8" x14ac:dyDescent="0.35">
      <c r="A488" s="5"/>
      <c r="B488" s="6"/>
      <c r="C488" s="6"/>
      <c r="D488" s="6"/>
      <c r="E488" s="5"/>
      <c r="F488" s="5"/>
      <c r="G488" s="5"/>
      <c r="H488" s="5"/>
    </row>
    <row r="489" spans="1:8" x14ac:dyDescent="0.35">
      <c r="A489" s="5"/>
      <c r="B489" s="6"/>
      <c r="C489" s="6"/>
      <c r="D489" s="6"/>
      <c r="E489" s="5"/>
      <c r="F489" s="5"/>
      <c r="G489" s="5"/>
      <c r="H489" s="5"/>
    </row>
    <row r="490" spans="1:8" x14ac:dyDescent="0.35">
      <c r="A490" s="5"/>
      <c r="B490" s="6"/>
      <c r="C490" s="6"/>
      <c r="D490" s="6"/>
      <c r="E490" s="5"/>
      <c r="F490" s="5"/>
      <c r="G490" s="5"/>
      <c r="H490" s="5"/>
    </row>
    <row r="491" spans="1:8" x14ac:dyDescent="0.35">
      <c r="A491" s="5"/>
      <c r="B491" s="6"/>
      <c r="C491" s="6"/>
      <c r="D491" s="6"/>
      <c r="E491" s="5"/>
      <c r="F491" s="5"/>
      <c r="G491" s="5"/>
      <c r="H491" s="5"/>
    </row>
    <row r="492" spans="1:8" x14ac:dyDescent="0.35">
      <c r="A492" s="5"/>
      <c r="B492" s="6"/>
      <c r="C492" s="6"/>
      <c r="D492" s="6"/>
      <c r="E492" s="5"/>
      <c r="F492" s="5"/>
      <c r="G492" s="5"/>
      <c r="H492" s="5"/>
    </row>
    <row r="493" spans="1:8" x14ac:dyDescent="0.35">
      <c r="A493" s="5"/>
      <c r="B493" s="6"/>
      <c r="C493" s="6"/>
      <c r="D493" s="6"/>
      <c r="E493" s="5"/>
      <c r="F493" s="5"/>
      <c r="G493" s="5"/>
      <c r="H493" s="5"/>
    </row>
    <row r="494" spans="1:8" x14ac:dyDescent="0.35">
      <c r="A494" s="5"/>
      <c r="B494" s="6"/>
      <c r="C494" s="6"/>
      <c r="D494" s="6"/>
      <c r="E494" s="5"/>
      <c r="F494" s="5"/>
      <c r="G494" s="5"/>
      <c r="H494" s="5"/>
    </row>
    <row r="495" spans="1:8" x14ac:dyDescent="0.35">
      <c r="A495" s="5"/>
      <c r="B495" s="6"/>
      <c r="C495" s="6"/>
      <c r="D495" s="6"/>
      <c r="E495" s="5"/>
      <c r="F495" s="5"/>
      <c r="G495" s="5"/>
      <c r="H495" s="5"/>
    </row>
    <row r="496" spans="1:8" x14ac:dyDescent="0.35">
      <c r="A496" s="5"/>
      <c r="B496" s="6"/>
      <c r="C496" s="6"/>
      <c r="D496" s="6"/>
      <c r="E496" s="5"/>
      <c r="F496" s="5"/>
      <c r="G496" s="5"/>
      <c r="H496" s="5"/>
    </row>
    <row r="497" spans="1:8" x14ac:dyDescent="0.35">
      <c r="A497" s="5"/>
      <c r="B497" s="6"/>
      <c r="C497" s="6"/>
      <c r="D497" s="6"/>
      <c r="E497" s="5"/>
      <c r="F497" s="5"/>
      <c r="G497" s="5"/>
      <c r="H497" s="5"/>
    </row>
    <row r="498" spans="1:8" x14ac:dyDescent="0.35">
      <c r="A498" s="5"/>
      <c r="B498" s="6"/>
      <c r="C498" s="6"/>
      <c r="D498" s="6"/>
      <c r="E498" s="5"/>
      <c r="F498" s="5"/>
      <c r="G498" s="5"/>
      <c r="H498" s="5"/>
    </row>
    <row r="499" spans="1:8" x14ac:dyDescent="0.35">
      <c r="A499" s="5"/>
      <c r="B499" s="6"/>
      <c r="C499" s="6"/>
      <c r="D499" s="6"/>
      <c r="E499" s="5"/>
      <c r="F499" s="5"/>
      <c r="G499" s="5"/>
      <c r="H499" s="5"/>
    </row>
    <row r="500" spans="1:8" x14ac:dyDescent="0.35">
      <c r="A500" s="5"/>
      <c r="B500" s="6"/>
      <c r="C500" s="6"/>
      <c r="D500" s="6"/>
      <c r="E500" s="5"/>
      <c r="F500" s="5"/>
      <c r="G500" s="5"/>
      <c r="H500" s="5"/>
    </row>
    <row r="501" spans="1:8" x14ac:dyDescent="0.35">
      <c r="A501" s="5"/>
      <c r="B501" s="6"/>
      <c r="C501" s="6"/>
      <c r="D501" s="6"/>
      <c r="E501" s="5"/>
      <c r="F501" s="5"/>
      <c r="G501" s="5"/>
      <c r="H501" s="5"/>
    </row>
    <row r="502" spans="1:8" x14ac:dyDescent="0.35">
      <c r="A502" s="5"/>
      <c r="B502" s="6"/>
      <c r="C502" s="6"/>
      <c r="D502" s="6"/>
      <c r="E502" s="5"/>
      <c r="F502" s="5"/>
      <c r="G502" s="5"/>
      <c r="H502" s="5"/>
    </row>
    <row r="503" spans="1:8" x14ac:dyDescent="0.35">
      <c r="A503" s="5"/>
      <c r="B503" s="6"/>
      <c r="C503" s="6"/>
      <c r="D503" s="6"/>
      <c r="E503" s="5"/>
      <c r="F503" s="5"/>
      <c r="G503" s="5"/>
      <c r="H503" s="5"/>
    </row>
    <row r="504" spans="1:8" x14ac:dyDescent="0.35">
      <c r="A504" s="5"/>
      <c r="B504" s="6"/>
      <c r="C504" s="6"/>
      <c r="D504" s="6"/>
      <c r="E504" s="5"/>
      <c r="F504" s="5"/>
      <c r="G504" s="5"/>
      <c r="H504" s="5"/>
    </row>
    <row r="505" spans="1:8" x14ac:dyDescent="0.35">
      <c r="A505" s="5"/>
      <c r="B505" s="6"/>
      <c r="C505" s="6"/>
      <c r="D505" s="6"/>
      <c r="E505" s="5"/>
      <c r="F505" s="5"/>
      <c r="G505" s="5"/>
      <c r="H505" s="5"/>
    </row>
    <row r="506" spans="1:8" x14ac:dyDescent="0.35">
      <c r="A506" s="5"/>
      <c r="B506" s="6"/>
      <c r="C506" s="6"/>
      <c r="D506" s="6"/>
      <c r="E506" s="5"/>
      <c r="F506" s="5"/>
      <c r="G506" s="5"/>
      <c r="H506" s="5"/>
    </row>
    <row r="507" spans="1:8" x14ac:dyDescent="0.35">
      <c r="A507" s="5"/>
      <c r="B507" s="6"/>
      <c r="C507" s="6"/>
      <c r="D507" s="6"/>
      <c r="E507" s="5"/>
      <c r="F507" s="5"/>
      <c r="G507" s="5"/>
      <c r="H507" s="5"/>
    </row>
    <row r="508" spans="1:8" x14ac:dyDescent="0.35">
      <c r="A508" s="5"/>
      <c r="B508" s="6"/>
      <c r="C508" s="6"/>
      <c r="D508" s="6"/>
      <c r="E508" s="5"/>
      <c r="F508" s="5"/>
      <c r="G508" s="5"/>
      <c r="H508" s="5"/>
    </row>
    <row r="509" spans="1:8" x14ac:dyDescent="0.35">
      <c r="A509" s="5"/>
      <c r="B509" s="6"/>
      <c r="C509" s="6"/>
      <c r="D509" s="6"/>
      <c r="E509" s="5"/>
      <c r="F509" s="5"/>
      <c r="G509" s="5"/>
      <c r="H509" s="5"/>
    </row>
    <row r="510" spans="1:8" x14ac:dyDescent="0.35">
      <c r="A510" s="5"/>
      <c r="B510" s="6"/>
      <c r="C510" s="6"/>
      <c r="D510" s="6"/>
      <c r="E510" s="5"/>
      <c r="F510" s="5"/>
      <c r="G510" s="5"/>
      <c r="H510" s="5"/>
    </row>
    <row r="511" spans="1:8" x14ac:dyDescent="0.35">
      <c r="A511" s="5"/>
      <c r="B511" s="6"/>
      <c r="C511" s="6"/>
      <c r="D511" s="6"/>
      <c r="E511" s="5"/>
      <c r="F511" s="5"/>
      <c r="G511" s="5"/>
      <c r="H511" s="5"/>
    </row>
    <row r="512" spans="1:8" x14ac:dyDescent="0.35">
      <c r="A512" s="5"/>
      <c r="B512" s="6"/>
      <c r="C512" s="6"/>
      <c r="D512" s="6"/>
      <c r="E512" s="5"/>
      <c r="F512" s="5"/>
      <c r="G512" s="5"/>
      <c r="H512" s="5"/>
    </row>
    <row r="513" spans="1:8" x14ac:dyDescent="0.35">
      <c r="A513" s="5"/>
      <c r="B513" s="6"/>
      <c r="C513" s="6"/>
      <c r="D513" s="6"/>
      <c r="E513" s="5"/>
      <c r="F513" s="5"/>
      <c r="G513" s="5"/>
      <c r="H513" s="5"/>
    </row>
    <row r="514" spans="1:8" x14ac:dyDescent="0.35">
      <c r="A514" s="5"/>
      <c r="B514" s="6"/>
      <c r="C514" s="6"/>
      <c r="D514" s="6"/>
      <c r="E514" s="5"/>
      <c r="F514" s="5"/>
      <c r="G514" s="5"/>
      <c r="H514" s="5"/>
    </row>
    <row r="515" spans="1:8" x14ac:dyDescent="0.35">
      <c r="A515" s="5"/>
      <c r="B515" s="6"/>
      <c r="C515" s="6"/>
      <c r="D515" s="6"/>
      <c r="E515" s="5"/>
      <c r="F515" s="5"/>
      <c r="G515" s="5"/>
      <c r="H515" s="5"/>
    </row>
    <row r="516" spans="1:8" x14ac:dyDescent="0.35">
      <c r="A516" s="5"/>
      <c r="B516" s="6"/>
      <c r="C516" s="6"/>
      <c r="D516" s="6"/>
      <c r="E516" s="5"/>
      <c r="F516" s="5"/>
      <c r="G516" s="5"/>
      <c r="H516" s="5"/>
    </row>
    <row r="517" spans="1:8" x14ac:dyDescent="0.35">
      <c r="A517" s="5"/>
      <c r="B517" s="6"/>
      <c r="C517" s="6"/>
      <c r="D517" s="6"/>
      <c r="E517" s="5"/>
      <c r="F517" s="5"/>
      <c r="G517" s="5"/>
      <c r="H517" s="5"/>
    </row>
    <row r="518" spans="1:8" x14ac:dyDescent="0.35">
      <c r="A518" s="5"/>
      <c r="B518" s="6"/>
      <c r="C518" s="6"/>
      <c r="D518" s="6"/>
      <c r="E518" s="5"/>
      <c r="F518" s="5"/>
      <c r="G518" s="5"/>
      <c r="H518" s="5"/>
    </row>
    <row r="519" spans="1:8" x14ac:dyDescent="0.35">
      <c r="A519" s="5"/>
      <c r="B519" s="6"/>
      <c r="C519" s="6"/>
      <c r="D519" s="6"/>
      <c r="E519" s="5"/>
      <c r="F519" s="5"/>
      <c r="G519" s="5"/>
      <c r="H519" s="5"/>
    </row>
    <row r="520" spans="1:8" x14ac:dyDescent="0.35">
      <c r="A520" s="5"/>
      <c r="B520" s="6"/>
      <c r="C520" s="6"/>
      <c r="D520" s="6"/>
      <c r="E520" s="5"/>
      <c r="F520" s="5"/>
      <c r="G520" s="5"/>
      <c r="H520" s="5"/>
    </row>
    <row r="521" spans="1:8" x14ac:dyDescent="0.35">
      <c r="A521" s="5"/>
      <c r="B521" s="6"/>
      <c r="C521" s="6"/>
      <c r="D521" s="6"/>
      <c r="E521" s="5"/>
      <c r="F521" s="5"/>
      <c r="G521" s="5"/>
      <c r="H521" s="5"/>
    </row>
    <row r="522" spans="1:8" x14ac:dyDescent="0.35">
      <c r="A522" s="5"/>
      <c r="B522" s="6"/>
      <c r="C522" s="6"/>
      <c r="D522" s="6"/>
      <c r="E522" s="5"/>
      <c r="F522" s="5"/>
      <c r="G522" s="5"/>
      <c r="H522" s="5"/>
    </row>
    <row r="523" spans="1:8" x14ac:dyDescent="0.35">
      <c r="A523" s="5"/>
      <c r="B523" s="6"/>
      <c r="C523" s="6"/>
      <c r="D523" s="6"/>
      <c r="E523" s="5"/>
      <c r="F523" s="5"/>
      <c r="G523" s="5"/>
      <c r="H523" s="5"/>
    </row>
    <row r="524" spans="1:8" x14ac:dyDescent="0.35">
      <c r="A524" s="5"/>
      <c r="B524" s="6"/>
      <c r="C524" s="6"/>
      <c r="D524" s="6"/>
      <c r="E524" s="5"/>
      <c r="F524" s="5"/>
      <c r="G524" s="5"/>
      <c r="H524" s="5"/>
    </row>
    <row r="525" spans="1:8" x14ac:dyDescent="0.35">
      <c r="A525" s="5"/>
      <c r="B525" s="6"/>
      <c r="C525" s="6"/>
      <c r="D525" s="6"/>
      <c r="E525" s="5"/>
      <c r="F525" s="5"/>
      <c r="G525" s="5"/>
      <c r="H525" s="5"/>
    </row>
    <row r="526" spans="1:8" x14ac:dyDescent="0.35">
      <c r="A526" s="5"/>
      <c r="B526" s="6"/>
      <c r="C526" s="6"/>
      <c r="D526" s="6"/>
      <c r="E526" s="5"/>
      <c r="F526" s="5"/>
      <c r="G526" s="5"/>
      <c r="H526" s="5"/>
    </row>
    <row r="527" spans="1:8" x14ac:dyDescent="0.35">
      <c r="A527" s="5"/>
      <c r="B527" s="6"/>
      <c r="C527" s="6"/>
      <c r="D527" s="6"/>
      <c r="E527" s="5"/>
      <c r="F527" s="5"/>
      <c r="G527" s="5"/>
      <c r="H527" s="5"/>
    </row>
    <row r="528" spans="1:8" x14ac:dyDescent="0.35">
      <c r="A528" s="5"/>
      <c r="B528" s="6"/>
      <c r="C528" s="6"/>
      <c r="D528" s="6"/>
      <c r="E528" s="5"/>
      <c r="F528" s="5"/>
      <c r="G528" s="5"/>
      <c r="H528" s="5"/>
    </row>
    <row r="529" spans="1:8" x14ac:dyDescent="0.35">
      <c r="A529" s="5"/>
      <c r="B529" s="6"/>
      <c r="C529" s="6"/>
      <c r="D529" s="6"/>
      <c r="E529" s="5"/>
      <c r="F529" s="5"/>
      <c r="G529" s="5"/>
      <c r="H529" s="5"/>
    </row>
    <row r="530" spans="1:8" x14ac:dyDescent="0.35">
      <c r="A530" s="5"/>
      <c r="B530" s="6"/>
      <c r="C530" s="6"/>
      <c r="D530" s="6"/>
      <c r="E530" s="5"/>
      <c r="F530" s="5"/>
      <c r="G530" s="5"/>
      <c r="H530" s="5"/>
    </row>
    <row r="531" spans="1:8" x14ac:dyDescent="0.35">
      <c r="A531" s="5"/>
      <c r="B531" s="6"/>
      <c r="C531" s="6"/>
      <c r="D531" s="6"/>
      <c r="E531" s="5"/>
      <c r="F531" s="5"/>
      <c r="G531" s="5"/>
      <c r="H531" s="5"/>
    </row>
    <row r="532" spans="1:8" x14ac:dyDescent="0.35">
      <c r="A532" s="5"/>
      <c r="B532" s="6"/>
      <c r="C532" s="6"/>
      <c r="D532" s="6"/>
      <c r="E532" s="5"/>
      <c r="F532" s="5"/>
      <c r="G532" s="5"/>
      <c r="H532" s="5"/>
    </row>
    <row r="533" spans="1:8" x14ac:dyDescent="0.35">
      <c r="A533" s="5"/>
      <c r="B533" s="6"/>
      <c r="C533" s="6"/>
      <c r="D533" s="6"/>
      <c r="E533" s="5"/>
      <c r="F533" s="5"/>
      <c r="G533" s="5"/>
      <c r="H533" s="5"/>
    </row>
    <row r="534" spans="1:8" x14ac:dyDescent="0.35">
      <c r="A534" s="5"/>
      <c r="B534" s="6"/>
      <c r="C534" s="6"/>
      <c r="D534" s="6"/>
      <c r="E534" s="5"/>
      <c r="F534" s="5"/>
      <c r="G534" s="5"/>
      <c r="H534" s="5"/>
    </row>
    <row r="535" spans="1:8" x14ac:dyDescent="0.35">
      <c r="A535" s="5"/>
      <c r="B535" s="6"/>
      <c r="C535" s="6"/>
      <c r="D535" s="6"/>
      <c r="E535" s="5"/>
      <c r="F535" s="5"/>
      <c r="G535" s="5"/>
      <c r="H535" s="5"/>
    </row>
    <row r="536" spans="1:8" x14ac:dyDescent="0.35">
      <c r="A536" s="5"/>
      <c r="B536" s="6"/>
      <c r="C536" s="6"/>
      <c r="D536" s="6"/>
      <c r="E536" s="5"/>
      <c r="F536" s="5"/>
      <c r="G536" s="5"/>
      <c r="H536" s="5"/>
    </row>
    <row r="537" spans="1:8" x14ac:dyDescent="0.35">
      <c r="A537" s="5"/>
      <c r="B537" s="6"/>
      <c r="C537" s="6"/>
      <c r="D537" s="6"/>
      <c r="E537" s="5"/>
      <c r="F537" s="5"/>
      <c r="G537" s="5"/>
      <c r="H537" s="5"/>
    </row>
    <row r="538" spans="1:8" x14ac:dyDescent="0.35">
      <c r="A538" s="5"/>
      <c r="B538" s="6"/>
      <c r="C538" s="6"/>
      <c r="D538" s="6"/>
      <c r="E538" s="5"/>
      <c r="F538" s="5"/>
      <c r="G538" s="5"/>
      <c r="H538" s="5"/>
    </row>
    <row r="539" spans="1:8" x14ac:dyDescent="0.35">
      <c r="A539" s="5"/>
      <c r="B539" s="6"/>
      <c r="C539" s="6"/>
      <c r="D539" s="6"/>
      <c r="E539" s="5"/>
      <c r="F539" s="5"/>
      <c r="G539" s="5"/>
      <c r="H539" s="5"/>
    </row>
    <row r="540" spans="1:8" x14ac:dyDescent="0.35">
      <c r="A540" s="5"/>
      <c r="B540" s="6"/>
      <c r="C540" s="6"/>
      <c r="D540" s="6"/>
      <c r="E540" s="5"/>
      <c r="F540" s="5"/>
      <c r="G540" s="5"/>
      <c r="H540" s="5"/>
    </row>
    <row r="541" spans="1:8" x14ac:dyDescent="0.35">
      <c r="A541" s="5"/>
      <c r="B541" s="6"/>
      <c r="C541" s="6"/>
      <c r="D541" s="6"/>
      <c r="E541" s="5"/>
      <c r="F541" s="5"/>
      <c r="G541" s="5"/>
      <c r="H541" s="5"/>
    </row>
    <row r="542" spans="1:8" x14ac:dyDescent="0.35">
      <c r="A542" s="5"/>
      <c r="B542" s="6"/>
      <c r="C542" s="6"/>
      <c r="D542" s="6"/>
      <c r="E542" s="5"/>
      <c r="F542" s="5"/>
      <c r="G542" s="5"/>
      <c r="H542" s="5"/>
    </row>
    <row r="543" spans="1:8" x14ac:dyDescent="0.35">
      <c r="A543" s="5"/>
      <c r="B543" s="6"/>
      <c r="C543" s="6"/>
      <c r="D543" s="6"/>
      <c r="E543" s="5"/>
      <c r="F543" s="5"/>
      <c r="G543" s="5"/>
      <c r="H543" s="5"/>
    </row>
    <row r="544" spans="1:8" x14ac:dyDescent="0.35">
      <c r="A544" s="5"/>
      <c r="B544" s="6"/>
      <c r="C544" s="6"/>
      <c r="D544" s="6"/>
      <c r="E544" s="5"/>
      <c r="F544" s="5"/>
      <c r="G544" s="5"/>
      <c r="H544" s="5"/>
    </row>
    <row r="545" spans="1:8" x14ac:dyDescent="0.35">
      <c r="A545" s="5"/>
      <c r="B545" s="6"/>
      <c r="C545" s="6"/>
      <c r="D545" s="6"/>
      <c r="E545" s="5"/>
      <c r="F545" s="5"/>
      <c r="G545" s="5"/>
      <c r="H545" s="5"/>
    </row>
    <row r="546" spans="1:8" x14ac:dyDescent="0.35">
      <c r="A546" s="5"/>
      <c r="B546" s="6"/>
      <c r="C546" s="6"/>
      <c r="D546" s="6"/>
      <c r="E546" s="5"/>
      <c r="F546" s="5"/>
      <c r="G546" s="5"/>
      <c r="H546" s="5"/>
    </row>
    <row r="547" spans="1:8" x14ac:dyDescent="0.35">
      <c r="A547" s="5"/>
      <c r="B547" s="6"/>
      <c r="C547" s="6"/>
      <c r="D547" s="6"/>
      <c r="E547" s="5"/>
      <c r="F547" s="5"/>
      <c r="G547" s="5"/>
      <c r="H547" s="5"/>
    </row>
    <row r="548" spans="1:8" x14ac:dyDescent="0.35">
      <c r="A548" s="5"/>
      <c r="B548" s="6"/>
      <c r="C548" s="6"/>
      <c r="D548" s="6"/>
      <c r="E548" s="5"/>
      <c r="F548" s="5"/>
      <c r="G548" s="5"/>
      <c r="H548" s="5"/>
    </row>
    <row r="549" spans="1:8" x14ac:dyDescent="0.35">
      <c r="A549" s="5"/>
      <c r="B549" s="6"/>
      <c r="C549" s="6"/>
      <c r="D549" s="6"/>
      <c r="E549" s="5"/>
      <c r="F549" s="5"/>
      <c r="G549" s="5"/>
      <c r="H549" s="5"/>
    </row>
    <row r="550" spans="1:8" x14ac:dyDescent="0.35">
      <c r="A550" s="5"/>
      <c r="B550" s="6"/>
      <c r="C550" s="6"/>
      <c r="D550" s="6"/>
      <c r="E550" s="5"/>
      <c r="F550" s="5"/>
      <c r="G550" s="5"/>
      <c r="H550" s="5"/>
    </row>
    <row r="551" spans="1:8" x14ac:dyDescent="0.35">
      <c r="A551" s="5"/>
      <c r="B551" s="6"/>
      <c r="C551" s="6"/>
      <c r="D551" s="6"/>
      <c r="E551" s="5"/>
      <c r="F551" s="5"/>
      <c r="G551" s="5"/>
      <c r="H551" s="5"/>
    </row>
    <row r="552" spans="1:8" x14ac:dyDescent="0.35">
      <c r="A552" s="5"/>
      <c r="B552" s="6"/>
      <c r="C552" s="6"/>
      <c r="D552" s="6"/>
      <c r="E552" s="5"/>
      <c r="F552" s="5"/>
      <c r="G552" s="5"/>
      <c r="H552" s="5"/>
    </row>
    <row r="553" spans="1:8" x14ac:dyDescent="0.35">
      <c r="A553" s="5"/>
      <c r="B553" s="6"/>
      <c r="C553" s="6"/>
      <c r="D553" s="6"/>
      <c r="E553" s="5"/>
      <c r="F553" s="5"/>
      <c r="G553" s="5"/>
      <c r="H553" s="5"/>
    </row>
    <row r="554" spans="1:8" x14ac:dyDescent="0.35">
      <c r="A554" s="5"/>
      <c r="B554" s="6"/>
      <c r="C554" s="6"/>
      <c r="D554" s="6"/>
      <c r="E554" s="5"/>
      <c r="F554" s="5"/>
      <c r="G554" s="5"/>
      <c r="H554" s="5"/>
    </row>
    <row r="555" spans="1:8" x14ac:dyDescent="0.35">
      <c r="A555" s="5"/>
      <c r="B555" s="6"/>
      <c r="C555" s="6"/>
      <c r="D555" s="6"/>
      <c r="E555" s="5"/>
      <c r="F555" s="5"/>
      <c r="G555" s="5"/>
      <c r="H555" s="5"/>
    </row>
    <row r="556" spans="1:8" x14ac:dyDescent="0.35">
      <c r="A556" s="5"/>
      <c r="B556" s="6"/>
      <c r="C556" s="6"/>
      <c r="D556" s="6"/>
      <c r="E556" s="5"/>
      <c r="F556" s="5"/>
      <c r="G556" s="5"/>
      <c r="H556" s="5"/>
    </row>
    <row r="557" spans="1:8" x14ac:dyDescent="0.35">
      <c r="A557" s="5"/>
      <c r="B557" s="6"/>
      <c r="C557" s="6"/>
      <c r="D557" s="6"/>
      <c r="E557" s="5"/>
      <c r="F557" s="5"/>
      <c r="G557" s="5"/>
      <c r="H557" s="5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Click">
                <anchor moveWithCells="1" sizeWithCells="1">
                  <from>
                    <xdr:col>10</xdr:col>
                    <xdr:colOff>501650</xdr:colOff>
                    <xdr:row>0</xdr:row>
                    <xdr:rowOff>107950</xdr:rowOff>
                  </from>
                  <to>
                    <xdr:col>12</xdr:col>
                    <xdr:colOff>419100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9442-7093-4708-918F-513514C7323D}">
  <sheetPr codeName="Sheet2"/>
  <dimension ref="A1:E281"/>
  <sheetViews>
    <sheetView tabSelected="1" workbookViewId="0">
      <selection activeCell="B4" sqref="B4"/>
    </sheetView>
  </sheetViews>
  <sheetFormatPr defaultRowHeight="14.5" x14ac:dyDescent="0.35"/>
  <cols>
    <col min="1" max="1" width="10.7265625" bestFit="1" customWidth="1"/>
    <col min="2" max="2" width="27.81640625" style="1" bestFit="1" customWidth="1"/>
    <col min="3" max="3" width="10.90625" customWidth="1"/>
  </cols>
  <sheetData>
    <row r="1" spans="1:5" ht="18.5" x14ac:dyDescent="0.45">
      <c r="A1" s="4" t="s">
        <v>1</v>
      </c>
      <c r="B1" s="4" t="s">
        <v>4</v>
      </c>
      <c r="C1" s="11" t="s">
        <v>44</v>
      </c>
      <c r="D1" s="11" t="s">
        <v>45</v>
      </c>
      <c r="E1" s="11" t="s">
        <v>46</v>
      </c>
    </row>
    <row r="2" spans="1:5" ht="20" customHeight="1" x14ac:dyDescent="0.35">
      <c r="A2" s="5" t="str" cm="1">
        <f t="array" ref="A2:A3">UPPER(_xlfn.UNIQUE(_xlfn._xlws.FILTER(Parts!D2:D500,Parts!D2:D500&lt;&gt;"")))</f>
        <v>HSS2X2X1/8</v>
      </c>
      <c r="B2" s="6">
        <f>IF(C2&lt;&gt;"",VLOOKUP(C2,Config!A4:B7,2,FALSE),"")</f>
        <v>20</v>
      </c>
      <c r="C2" s="5" t="str">
        <f>IF(ISNA(VLOOKUP($A2,Table1[],2,FALSE)),"",VLOOKUP($A2,Table1[],2,FALSE))</f>
        <v>HSS</v>
      </c>
      <c r="D2" s="5">
        <f>IF(ISNA(VLOOKUP($A2,Table1[],3,FALSE)),"",VLOOKUP($A2,Table1[],3,FALSE))</f>
        <v>2</v>
      </c>
      <c r="E2" s="5">
        <f>IF(ISNA(VLOOKUP($A2,Table1[],2,FALSE)),"",VLOOKUP($A2,Table1[],4,FALSE))</f>
        <v>2</v>
      </c>
    </row>
    <row r="3" spans="1:5" ht="20" customHeight="1" x14ac:dyDescent="0.35">
      <c r="A3" s="5" t="str">
        <v>L4X3X1/4</v>
      </c>
      <c r="B3" s="6">
        <f>IF(C3&lt;&gt;"",VLOOKUP(C3,Config!A5:B8,2,FALSE),"")</f>
        <v>20</v>
      </c>
      <c r="C3" s="5" t="str">
        <f>IF(ISNA(VLOOKUP($A3,Table1[],2,FALSE)),"",VLOOKUP($A3,Table1[],2,FALSE))</f>
        <v>L</v>
      </c>
      <c r="D3" s="5">
        <f>IF(ISNA(VLOOKUP($A3,Table1[],3,FALSE)),"",VLOOKUP($A3,Table1[],3,FALSE))</f>
        <v>3</v>
      </c>
      <c r="E3" s="5">
        <f>IF(ISNA(VLOOKUP($A3,Table1[],2,FALSE)),"",VLOOKUP($A3,Table1[],4,FALSE))</f>
        <v>4</v>
      </c>
    </row>
    <row r="4" spans="1:5" ht="20" customHeight="1" x14ac:dyDescent="0.35">
      <c r="A4" s="5"/>
      <c r="B4" s="6" t="str">
        <f>IF(C4&lt;&gt;"",VLOOKUP(C4,Config!A6:B9,2,FALSE),"")</f>
        <v/>
      </c>
      <c r="C4" s="5" t="str">
        <f>IF(ISNA(VLOOKUP($A4,Table1[],2,FALSE)),"",VLOOKUP($A4,Table1[],2,FALSE))</f>
        <v/>
      </c>
      <c r="D4" s="5" t="str">
        <f>IF(ISNA(VLOOKUP($A4,Table1[],3,FALSE)),"",VLOOKUP($A4,Table1[],3,FALSE))</f>
        <v/>
      </c>
      <c r="E4" s="5" t="str">
        <f>IF(ISNA(VLOOKUP($A4,Table1[],2,FALSE)),"",VLOOKUP($A4,Table1[],4,FALSE))</f>
        <v/>
      </c>
    </row>
    <row r="5" spans="1:5" ht="20" customHeight="1" x14ac:dyDescent="0.35">
      <c r="A5" s="5"/>
      <c r="B5" s="6" t="str">
        <f>IF(C5&lt;&gt;"",VLOOKUP(C5,Config!A7:B10,2,FALSE),"")</f>
        <v/>
      </c>
      <c r="C5" s="5" t="str">
        <f>IF(ISNA(VLOOKUP($A5,Table1[],2,FALSE)),"",VLOOKUP($A5,Table1[],2,FALSE))</f>
        <v/>
      </c>
      <c r="D5" s="5" t="str">
        <f>IF(ISNA(VLOOKUP($A5,Table1[],3,FALSE)),"",VLOOKUP($A5,Table1[],3,FALSE))</f>
        <v/>
      </c>
      <c r="E5" s="5" t="str">
        <f>IF(ISNA(VLOOKUP($A5,Table1[],2,FALSE)),"",VLOOKUP($A5,Table1[],4,FALSE))</f>
        <v/>
      </c>
    </row>
    <row r="6" spans="1:5" ht="20" customHeight="1" x14ac:dyDescent="0.35">
      <c r="A6" s="5"/>
      <c r="B6" s="6" t="str">
        <f>IF(C6&lt;&gt;"",VLOOKUP(C6,Config!A8:B11,2,FALSE),"")</f>
        <v/>
      </c>
      <c r="C6" s="5" t="str">
        <f>IF(ISNA(VLOOKUP($A6,Table1[],2,FALSE)),"",VLOOKUP($A6,Table1[],2,FALSE))</f>
        <v/>
      </c>
      <c r="D6" s="5" t="str">
        <f>IF(ISNA(VLOOKUP($A6,Table1[],3,FALSE)),"",VLOOKUP($A6,Table1[],3,FALSE))</f>
        <v/>
      </c>
      <c r="E6" s="5" t="str">
        <f>IF(ISNA(VLOOKUP($A6,Table1[],2,FALSE)),"",VLOOKUP($A6,Table1[],4,FALSE))</f>
        <v/>
      </c>
    </row>
    <row r="7" spans="1:5" ht="20" customHeight="1" x14ac:dyDescent="0.35">
      <c r="A7" s="5"/>
      <c r="B7" s="6" t="str">
        <f>IF(C7&lt;&gt;"",VLOOKUP(C7,Config!A9:B12,2,FALSE),"")</f>
        <v/>
      </c>
      <c r="C7" s="5" t="str">
        <f>IF(ISNA(VLOOKUP($A7,Table1[],2,FALSE)),"",VLOOKUP($A7,Table1[],2,FALSE))</f>
        <v/>
      </c>
      <c r="D7" s="5" t="str">
        <f>IF(ISNA(VLOOKUP($A7,Table1[],3,FALSE)),"",VLOOKUP($A7,Table1[],3,FALSE))</f>
        <v/>
      </c>
      <c r="E7" s="5" t="str">
        <f>IF(ISNA(VLOOKUP($A7,Table1[],2,FALSE)),"",VLOOKUP($A7,Table1[],4,FALSE))</f>
        <v/>
      </c>
    </row>
    <row r="8" spans="1:5" ht="20" customHeight="1" x14ac:dyDescent="0.35">
      <c r="A8" s="5"/>
      <c r="B8" s="6" t="str">
        <f>IF(C8&lt;&gt;"",VLOOKUP(C8,Config!A10:B13,2,FALSE),"")</f>
        <v/>
      </c>
      <c r="C8" s="5" t="str">
        <f>IF(ISNA(VLOOKUP($A8,Table1[],2,FALSE)),"",VLOOKUP($A8,Table1[],2,FALSE))</f>
        <v/>
      </c>
      <c r="D8" s="5" t="str">
        <f>IF(ISNA(VLOOKUP($A8,Table1[],3,FALSE)),"",VLOOKUP($A8,Table1[],3,FALSE))</f>
        <v/>
      </c>
      <c r="E8" s="5" t="str">
        <f>IF(ISNA(VLOOKUP($A8,Table1[],2,FALSE)),"",VLOOKUP($A8,Table1[],4,FALSE))</f>
        <v/>
      </c>
    </row>
    <row r="9" spans="1:5" ht="20" customHeight="1" x14ac:dyDescent="0.35">
      <c r="A9" s="5"/>
      <c r="B9" s="6" t="str">
        <f>IF(C9&lt;&gt;"",VLOOKUP(C9,Config!A11:B14,2,FALSE),"")</f>
        <v/>
      </c>
      <c r="C9" s="5" t="str">
        <f>IF(ISNA(VLOOKUP($A9,Table1[],2,FALSE)),"",VLOOKUP($A9,Table1[],2,FALSE))</f>
        <v/>
      </c>
      <c r="D9" s="5" t="str">
        <f>IF(ISNA(VLOOKUP($A9,Table1[],3,FALSE)),"",VLOOKUP($A9,Table1[],3,FALSE))</f>
        <v/>
      </c>
      <c r="E9" s="5" t="str">
        <f>IF(ISNA(VLOOKUP($A9,Table1[],2,FALSE)),"",VLOOKUP($A9,Table1[],4,FALSE))</f>
        <v/>
      </c>
    </row>
    <row r="10" spans="1:5" ht="20" customHeight="1" x14ac:dyDescent="0.35">
      <c r="A10" s="5"/>
      <c r="B10" s="6" t="str">
        <f>IF(C10&lt;&gt;"",VLOOKUP(C10,Config!A12:B15,2,FALSE),"")</f>
        <v/>
      </c>
      <c r="C10" s="5" t="str">
        <f>IF(ISNA(VLOOKUP($A10,Table1[],2,FALSE)),"",VLOOKUP($A10,Table1[],2,FALSE))</f>
        <v/>
      </c>
      <c r="D10" s="5" t="str">
        <f>IF(ISNA(VLOOKUP($A10,Table1[],3,FALSE)),"",VLOOKUP($A10,Table1[],3,FALSE))</f>
        <v/>
      </c>
      <c r="E10" s="5" t="str">
        <f>IF(ISNA(VLOOKUP($A10,Table1[],2,FALSE)),"",VLOOKUP($A10,Table1[],4,FALSE))</f>
        <v/>
      </c>
    </row>
    <row r="11" spans="1:5" ht="20" customHeight="1" x14ac:dyDescent="0.35">
      <c r="A11" s="5"/>
      <c r="B11" s="6" t="str">
        <f>IF(C11&lt;&gt;"",VLOOKUP(C11,Config!A13:B16,2,FALSE),"")</f>
        <v/>
      </c>
      <c r="C11" s="5" t="str">
        <f>IF(ISNA(VLOOKUP($A11,Table1[],2,FALSE)),"",VLOOKUP($A11,Table1[],2,FALSE))</f>
        <v/>
      </c>
      <c r="D11" s="5" t="str">
        <f>IF(ISNA(VLOOKUP($A11,Table1[],3,FALSE)),"",VLOOKUP($A11,Table1[],3,FALSE))</f>
        <v/>
      </c>
      <c r="E11" s="5" t="str">
        <f>IF(ISNA(VLOOKUP($A11,Table1[],2,FALSE)),"",VLOOKUP($A11,Table1[],4,FALSE))</f>
        <v/>
      </c>
    </row>
    <row r="12" spans="1:5" ht="20" customHeight="1" x14ac:dyDescent="0.35">
      <c r="A12" s="5"/>
      <c r="B12" s="6" t="str">
        <f>IF(C12&lt;&gt;"",VLOOKUP(C12,Config!A14:B17,2,FALSE),"")</f>
        <v/>
      </c>
      <c r="C12" s="5" t="str">
        <f>IF(ISNA(VLOOKUP($A12,Table1[],2,FALSE)),"",VLOOKUP($A12,Table1[],2,FALSE))</f>
        <v/>
      </c>
      <c r="D12" s="5" t="str">
        <f>IF(ISNA(VLOOKUP($A12,Table1[],3,FALSE)),"",VLOOKUP($A12,Table1[],3,FALSE))</f>
        <v/>
      </c>
      <c r="E12" s="5" t="str">
        <f>IF(ISNA(VLOOKUP($A12,Table1[],2,FALSE)),"",VLOOKUP($A12,Table1[],4,FALSE))</f>
        <v/>
      </c>
    </row>
    <row r="13" spans="1:5" ht="20" customHeight="1" x14ac:dyDescent="0.35">
      <c r="A13" s="5"/>
      <c r="B13" s="6" t="str">
        <f>IF(C13&lt;&gt;"",VLOOKUP(C13,Config!A15:B18,2,FALSE),"")</f>
        <v/>
      </c>
      <c r="C13" s="5" t="str">
        <f>IF(ISNA(VLOOKUP($A13,Table1[],2,FALSE)),"",VLOOKUP($A13,Table1[],2,FALSE))</f>
        <v/>
      </c>
      <c r="D13" s="5" t="str">
        <f>IF(ISNA(VLOOKUP($A13,Table1[],3,FALSE)),"",VLOOKUP($A13,Table1[],3,FALSE))</f>
        <v/>
      </c>
      <c r="E13" s="5" t="str">
        <f>IF(ISNA(VLOOKUP($A13,Table1[],2,FALSE)),"",VLOOKUP($A13,Table1[],4,FALSE))</f>
        <v/>
      </c>
    </row>
    <row r="14" spans="1:5" ht="20" customHeight="1" x14ac:dyDescent="0.35">
      <c r="A14" s="5"/>
      <c r="B14" s="6" t="str">
        <f>IF(C14&lt;&gt;"",VLOOKUP(C14,Config!A16:B19,2,FALSE),"")</f>
        <v/>
      </c>
      <c r="C14" s="5" t="str">
        <f>IF(ISNA(VLOOKUP($A14,Table1[],2,FALSE)),"",VLOOKUP($A14,Table1[],2,FALSE))</f>
        <v/>
      </c>
      <c r="D14" s="5" t="str">
        <f>IF(ISNA(VLOOKUP($A14,Table1[],3,FALSE)),"",VLOOKUP($A14,Table1[],3,FALSE))</f>
        <v/>
      </c>
      <c r="E14" s="5" t="str">
        <f>IF(ISNA(VLOOKUP($A14,Table1[],2,FALSE)),"",VLOOKUP($A14,Table1[],4,FALSE))</f>
        <v/>
      </c>
    </row>
    <row r="15" spans="1:5" ht="20" customHeight="1" x14ac:dyDescent="0.35">
      <c r="A15" s="5"/>
      <c r="B15" s="6" t="str">
        <f>IF(C15&lt;&gt;"",VLOOKUP(C15,Config!A17:B20,2,FALSE),"")</f>
        <v/>
      </c>
      <c r="C15" s="5" t="str">
        <f>IF(ISNA(VLOOKUP($A15,Table1[],2,FALSE)),"",VLOOKUP($A15,Table1[],2,FALSE))</f>
        <v/>
      </c>
      <c r="D15" s="5" t="str">
        <f>IF(ISNA(VLOOKUP($A15,Table1[],3,FALSE)),"",VLOOKUP($A15,Table1[],3,FALSE))</f>
        <v/>
      </c>
      <c r="E15" s="5" t="str">
        <f>IF(ISNA(VLOOKUP($A15,Table1[],2,FALSE)),"",VLOOKUP($A15,Table1[],4,FALSE))</f>
        <v/>
      </c>
    </row>
    <row r="16" spans="1:5" ht="20" customHeight="1" x14ac:dyDescent="0.35">
      <c r="A16" s="5"/>
      <c r="B16" s="6" t="str">
        <f>IF(C16&lt;&gt;"",VLOOKUP(C16,Config!A18:B21,2,FALSE),"")</f>
        <v/>
      </c>
      <c r="C16" s="5" t="str">
        <f>IF(ISNA(VLOOKUP($A16,Table1[],2,FALSE)),"",VLOOKUP($A16,Table1[],2,FALSE))</f>
        <v/>
      </c>
      <c r="D16" s="5" t="str">
        <f>IF(ISNA(VLOOKUP($A16,Table1[],3,FALSE)),"",VLOOKUP($A16,Table1[],3,FALSE))</f>
        <v/>
      </c>
      <c r="E16" s="5" t="str">
        <f>IF(ISNA(VLOOKUP($A16,Table1[],2,FALSE)),"",VLOOKUP($A16,Table1[],4,FALSE))</f>
        <v/>
      </c>
    </row>
    <row r="17" spans="1:5" ht="20" customHeight="1" x14ac:dyDescent="0.35">
      <c r="A17" s="5"/>
      <c r="B17" s="6" t="str">
        <f>IF(C17&lt;&gt;"",VLOOKUP(C17,Config!A19:B22,2,FALSE),"")</f>
        <v/>
      </c>
      <c r="C17" s="5" t="str">
        <f>IF(ISNA(VLOOKUP($A17,Table1[],2,FALSE)),"",VLOOKUP($A17,Table1[],2,FALSE))</f>
        <v/>
      </c>
      <c r="D17" s="5" t="str">
        <f>IF(ISNA(VLOOKUP($A17,Table1[],3,FALSE)),"",VLOOKUP($A17,Table1[],3,FALSE))</f>
        <v/>
      </c>
      <c r="E17" s="5" t="str">
        <f>IF(ISNA(VLOOKUP($A17,Table1[],2,FALSE)),"",VLOOKUP($A17,Table1[],4,FALSE))</f>
        <v/>
      </c>
    </row>
    <row r="18" spans="1:5" ht="20" customHeight="1" x14ac:dyDescent="0.35">
      <c r="A18" s="5"/>
      <c r="B18" s="6" t="str">
        <f>IF(C18&lt;&gt;"",VLOOKUP(C18,Config!A20:B23,2,FALSE),"")</f>
        <v/>
      </c>
      <c r="C18" s="5" t="str">
        <f>IF(ISNA(VLOOKUP($A18,Table1[],2,FALSE)),"",VLOOKUP($A18,Table1[],2,FALSE))</f>
        <v/>
      </c>
      <c r="D18" s="5" t="str">
        <f>IF(ISNA(VLOOKUP($A18,Table1[],3,FALSE)),"",VLOOKUP($A18,Table1[],3,FALSE))</f>
        <v/>
      </c>
      <c r="E18" s="5" t="str">
        <f>IF(ISNA(VLOOKUP($A18,Table1[],2,FALSE)),"",VLOOKUP($A18,Table1[],4,FALSE))</f>
        <v/>
      </c>
    </row>
    <row r="19" spans="1:5" ht="20" customHeight="1" x14ac:dyDescent="0.35">
      <c r="A19" s="5"/>
      <c r="B19" s="6" t="str">
        <f>IF(C19&lt;&gt;"",VLOOKUP(C19,Config!A21:B24,2,FALSE),"")</f>
        <v/>
      </c>
      <c r="C19" s="5" t="str">
        <f>IF(ISNA(VLOOKUP($A19,Table1[],2,FALSE)),"",VLOOKUP($A19,Table1[],2,FALSE))</f>
        <v/>
      </c>
      <c r="D19" s="5" t="str">
        <f>IF(ISNA(VLOOKUP($A19,Table1[],3,FALSE)),"",VLOOKUP($A19,Table1[],3,FALSE))</f>
        <v/>
      </c>
      <c r="E19" s="5" t="str">
        <f>IF(ISNA(VLOOKUP($A19,Table1[],2,FALSE)),"",VLOOKUP($A19,Table1[],4,FALSE))</f>
        <v/>
      </c>
    </row>
    <row r="20" spans="1:5" ht="20" customHeight="1" x14ac:dyDescent="0.35">
      <c r="A20" s="5"/>
      <c r="B20" s="6" t="str">
        <f>IF(C20&lt;&gt;"",VLOOKUP(C20,Config!A22:B25,2,FALSE),"")</f>
        <v/>
      </c>
      <c r="C20" s="5" t="str">
        <f>IF(ISNA(VLOOKUP($A20,Table1[],2,FALSE)),"",VLOOKUP($A20,Table1[],2,FALSE))</f>
        <v/>
      </c>
      <c r="D20" s="5" t="str">
        <f>IF(ISNA(VLOOKUP($A20,Table1[],3,FALSE)),"",VLOOKUP($A20,Table1[],3,FALSE))</f>
        <v/>
      </c>
      <c r="E20" s="5" t="str">
        <f>IF(ISNA(VLOOKUP($A20,Table1[],2,FALSE)),"",VLOOKUP($A20,Table1[],4,FALSE))</f>
        <v/>
      </c>
    </row>
    <row r="21" spans="1:5" ht="20" customHeight="1" x14ac:dyDescent="0.35">
      <c r="A21" s="5"/>
      <c r="B21" s="6" t="str">
        <f>IF(C21&lt;&gt;"",VLOOKUP(C21,Config!A23:B26,2,FALSE),"")</f>
        <v/>
      </c>
      <c r="C21" s="5" t="str">
        <f>IF(ISNA(VLOOKUP($A21,Table1[],2,FALSE)),"",VLOOKUP($A21,Table1[],2,FALSE))</f>
        <v/>
      </c>
      <c r="D21" s="5" t="str">
        <f>IF(ISNA(VLOOKUP($A21,Table1[],3,FALSE)),"",VLOOKUP($A21,Table1[],3,FALSE))</f>
        <v/>
      </c>
      <c r="E21" s="5" t="str">
        <f>IF(ISNA(VLOOKUP($A21,Table1[],2,FALSE)),"",VLOOKUP($A21,Table1[],4,FALSE))</f>
        <v/>
      </c>
    </row>
    <row r="22" spans="1:5" ht="20" customHeight="1" x14ac:dyDescent="0.35">
      <c r="A22" s="5"/>
      <c r="B22" s="6" t="str">
        <f>IF(C22&lt;&gt;"",VLOOKUP(C22,Config!A24:B27,2,FALSE),"")</f>
        <v/>
      </c>
      <c r="C22" s="5" t="str">
        <f>IF(ISNA(VLOOKUP($A22,Table1[],2,FALSE)),"",VLOOKUP($A22,Table1[],2,FALSE))</f>
        <v/>
      </c>
      <c r="D22" s="5" t="str">
        <f>IF(ISNA(VLOOKUP($A22,Table1[],3,FALSE)),"",VLOOKUP($A22,Table1[],3,FALSE))</f>
        <v/>
      </c>
      <c r="E22" s="5" t="str">
        <f>IF(ISNA(VLOOKUP($A22,Table1[],2,FALSE)),"",VLOOKUP($A22,Table1[],4,FALSE))</f>
        <v/>
      </c>
    </row>
    <row r="23" spans="1:5" ht="20" customHeight="1" x14ac:dyDescent="0.35">
      <c r="A23" s="5"/>
      <c r="B23" s="6" t="str">
        <f>IF(C23&lt;&gt;"",VLOOKUP(C23,Config!A25:B28,2,FALSE),"")</f>
        <v/>
      </c>
      <c r="C23" s="5" t="str">
        <f>IF(ISNA(VLOOKUP($A23,Table1[],2,FALSE)),"",VLOOKUP($A23,Table1[],2,FALSE))</f>
        <v/>
      </c>
      <c r="D23" s="5" t="str">
        <f>IF(ISNA(VLOOKUP($A23,Table1[],3,FALSE)),"",VLOOKUP($A23,Table1[],3,FALSE))</f>
        <v/>
      </c>
      <c r="E23" s="5" t="str">
        <f>IF(ISNA(VLOOKUP($A23,Table1[],2,FALSE)),"",VLOOKUP($A23,Table1[],4,FALSE))</f>
        <v/>
      </c>
    </row>
    <row r="24" spans="1:5" ht="20" customHeight="1" x14ac:dyDescent="0.35">
      <c r="A24" s="5"/>
      <c r="B24" s="6" t="str">
        <f>IF(C24&lt;&gt;"",VLOOKUP(C24,Config!A26:B29,2,FALSE),"")</f>
        <v/>
      </c>
      <c r="C24" s="5" t="str">
        <f>IF(ISNA(VLOOKUP($A24,Table1[],2,FALSE)),"",VLOOKUP($A24,Table1[],2,FALSE))</f>
        <v/>
      </c>
      <c r="D24" s="5" t="str">
        <f>IF(ISNA(VLOOKUP($A24,Table1[],3,FALSE)),"",VLOOKUP($A24,Table1[],3,FALSE))</f>
        <v/>
      </c>
      <c r="E24" s="5" t="str">
        <f>IF(ISNA(VLOOKUP($A24,Table1[],2,FALSE)),"",VLOOKUP($A24,Table1[],4,FALSE))</f>
        <v/>
      </c>
    </row>
    <row r="25" spans="1:5" ht="20" customHeight="1" x14ac:dyDescent="0.35">
      <c r="A25" s="5"/>
      <c r="B25" s="6" t="str">
        <f>IF(C25&lt;&gt;"",VLOOKUP(C25,Config!A27:B30,2,FALSE),"")</f>
        <v/>
      </c>
      <c r="C25" s="5" t="str">
        <f>IF(ISNA(VLOOKUP($A25,Table1[],2,FALSE)),"",VLOOKUP($A25,Table1[],2,FALSE))</f>
        <v/>
      </c>
      <c r="D25" s="5" t="str">
        <f>IF(ISNA(VLOOKUP($A25,Table1[],3,FALSE)),"",VLOOKUP($A25,Table1[],3,FALSE))</f>
        <v/>
      </c>
      <c r="E25" s="5" t="str">
        <f>IF(ISNA(VLOOKUP($A25,Table1[],2,FALSE)),"",VLOOKUP($A25,Table1[],4,FALSE))</f>
        <v/>
      </c>
    </row>
    <row r="26" spans="1:5" ht="20" customHeight="1" x14ac:dyDescent="0.35">
      <c r="A26" s="5"/>
      <c r="B26" s="6" t="str">
        <f>IF(C26&lt;&gt;"",VLOOKUP(C26,Config!A28:B31,2,FALSE),"")</f>
        <v/>
      </c>
      <c r="C26" s="5" t="str">
        <f>IF(ISNA(VLOOKUP($A26,Table1[],2,FALSE)),"",VLOOKUP($A26,Table1[],2,FALSE))</f>
        <v/>
      </c>
      <c r="D26" s="5" t="str">
        <f>IF(ISNA(VLOOKUP($A26,Table1[],3,FALSE)),"",VLOOKUP($A26,Table1[],3,FALSE))</f>
        <v/>
      </c>
      <c r="E26" s="5" t="str">
        <f>IF(ISNA(VLOOKUP($A26,Table1[],2,FALSE)),"",VLOOKUP($A26,Table1[],4,FALSE))</f>
        <v/>
      </c>
    </row>
    <row r="27" spans="1:5" ht="20" customHeight="1" x14ac:dyDescent="0.35">
      <c r="A27" s="5"/>
      <c r="B27" s="6" t="str">
        <f>IF(C27&lt;&gt;"",VLOOKUP(C27,Config!A29:B32,2,FALSE),"")</f>
        <v/>
      </c>
      <c r="C27" s="5" t="str">
        <f>IF(ISNA(VLOOKUP($A27,Table1[],2,FALSE)),"",VLOOKUP($A27,Table1[],2,FALSE))</f>
        <v/>
      </c>
      <c r="D27" s="5" t="str">
        <f>IF(ISNA(VLOOKUP($A27,Table1[],3,FALSE)),"",VLOOKUP($A27,Table1[],3,FALSE))</f>
        <v/>
      </c>
      <c r="E27" s="5" t="str">
        <f>IF(ISNA(VLOOKUP($A27,Table1[],2,FALSE)),"",VLOOKUP($A27,Table1[],4,FALSE))</f>
        <v/>
      </c>
    </row>
    <row r="28" spans="1:5" ht="20" customHeight="1" x14ac:dyDescent="0.35">
      <c r="A28" s="5"/>
      <c r="B28" s="6" t="str">
        <f>IF(C28&lt;&gt;"",VLOOKUP(C28,Config!A30:B33,2,FALSE),"")</f>
        <v/>
      </c>
      <c r="C28" s="5" t="str">
        <f>IF(ISNA(VLOOKUP($A28,Table1[],2,FALSE)),"",VLOOKUP($A28,Table1[],2,FALSE))</f>
        <v/>
      </c>
      <c r="D28" s="5" t="str">
        <f>IF(ISNA(VLOOKUP($A28,Table1[],3,FALSE)),"",VLOOKUP($A28,Table1[],3,FALSE))</f>
        <v/>
      </c>
      <c r="E28" s="5" t="str">
        <f>IF(ISNA(VLOOKUP($A28,Table1[],2,FALSE)),"",VLOOKUP($A28,Table1[],4,FALSE))</f>
        <v/>
      </c>
    </row>
    <row r="29" spans="1:5" ht="20" customHeight="1" x14ac:dyDescent="0.35">
      <c r="A29" s="5"/>
      <c r="B29" s="6" t="str">
        <f>IF(C29&lt;&gt;"",VLOOKUP(C29,Config!A31:B34,2,FALSE),"")</f>
        <v/>
      </c>
      <c r="C29" s="5" t="str">
        <f>IF(ISNA(VLOOKUP($A29,Table1[],2,FALSE)),"",VLOOKUP($A29,Table1[],2,FALSE))</f>
        <v/>
      </c>
      <c r="D29" s="5" t="str">
        <f>IF(ISNA(VLOOKUP($A29,Table1[],3,FALSE)),"",VLOOKUP($A29,Table1[],3,FALSE))</f>
        <v/>
      </c>
      <c r="E29" s="5" t="str">
        <f>IF(ISNA(VLOOKUP($A29,Table1[],2,FALSE)),"",VLOOKUP($A29,Table1[],4,FALSE))</f>
        <v/>
      </c>
    </row>
    <row r="30" spans="1:5" ht="20" customHeight="1" x14ac:dyDescent="0.35">
      <c r="A30" s="5"/>
      <c r="B30" s="6" t="str">
        <f>IF(C30&lt;&gt;"",VLOOKUP(C30,Config!A32:B35,2,FALSE),"")</f>
        <v/>
      </c>
      <c r="C30" s="5" t="str">
        <f>IF(ISNA(VLOOKUP($A30,Table1[],2,FALSE)),"",VLOOKUP($A30,Table1[],2,FALSE))</f>
        <v/>
      </c>
      <c r="D30" s="5" t="str">
        <f>IF(ISNA(VLOOKUP($A30,Table1[],3,FALSE)),"",VLOOKUP($A30,Table1[],3,FALSE))</f>
        <v/>
      </c>
      <c r="E30" s="5" t="str">
        <f>IF(ISNA(VLOOKUP($A30,Table1[],2,FALSE)),"",VLOOKUP($A30,Table1[],4,FALSE))</f>
        <v/>
      </c>
    </row>
    <row r="31" spans="1:5" ht="20" customHeight="1" x14ac:dyDescent="0.35">
      <c r="A31" s="5"/>
      <c r="B31" s="6" t="str">
        <f>IF(C31&lt;&gt;"",VLOOKUP(C31,Config!A33:B36,2,FALSE),"")</f>
        <v/>
      </c>
      <c r="C31" s="5" t="str">
        <f>IF(ISNA(VLOOKUP($A31,Table1[],2,FALSE)),"",VLOOKUP($A31,Table1[],2,FALSE))</f>
        <v/>
      </c>
      <c r="D31" s="5" t="str">
        <f>IF(ISNA(VLOOKUP($A31,Table1[],3,FALSE)),"",VLOOKUP($A31,Table1[],3,FALSE))</f>
        <v/>
      </c>
      <c r="E31" s="5" t="str">
        <f>IF(ISNA(VLOOKUP($A31,Table1[],2,FALSE)),"",VLOOKUP($A31,Table1[],4,FALSE))</f>
        <v/>
      </c>
    </row>
    <row r="32" spans="1:5" ht="20" customHeight="1" x14ac:dyDescent="0.35">
      <c r="A32" s="5"/>
      <c r="B32" s="6" t="str">
        <f>IF(C32&lt;&gt;"",VLOOKUP(C32,Config!A34:B37,2,FALSE),"")</f>
        <v/>
      </c>
      <c r="C32" s="5" t="str">
        <f>IF(ISNA(VLOOKUP($A32,Table1[],2,FALSE)),"",VLOOKUP($A32,Table1[],2,FALSE))</f>
        <v/>
      </c>
      <c r="D32" s="5" t="str">
        <f>IF(ISNA(VLOOKUP($A32,Table1[],3,FALSE)),"",VLOOKUP($A32,Table1[],3,FALSE))</f>
        <v/>
      </c>
      <c r="E32" s="5" t="str">
        <f>IF(ISNA(VLOOKUP($A32,Table1[],2,FALSE)),"",VLOOKUP($A32,Table1[],4,FALSE))</f>
        <v/>
      </c>
    </row>
    <row r="33" spans="1:5" ht="20" customHeight="1" x14ac:dyDescent="0.35">
      <c r="A33" s="5"/>
      <c r="B33" s="6" t="str">
        <f>IF(C33&lt;&gt;"",VLOOKUP(C33,Config!A35:B38,2,FALSE),"")</f>
        <v/>
      </c>
      <c r="C33" s="5" t="str">
        <f>IF(ISNA(VLOOKUP($A33,Table1[],2,FALSE)),"",VLOOKUP($A33,Table1[],2,FALSE))</f>
        <v/>
      </c>
      <c r="D33" s="5" t="str">
        <f>IF(ISNA(VLOOKUP($A33,Table1[],3,FALSE)),"",VLOOKUP($A33,Table1[],3,FALSE))</f>
        <v/>
      </c>
      <c r="E33" s="5" t="str">
        <f>IF(ISNA(VLOOKUP($A33,Table1[],2,FALSE)),"",VLOOKUP($A33,Table1[],4,FALSE))</f>
        <v/>
      </c>
    </row>
    <row r="34" spans="1:5" ht="20" customHeight="1" x14ac:dyDescent="0.35">
      <c r="A34" s="5"/>
      <c r="B34" s="6" t="str">
        <f>IF(C34&lt;&gt;"",VLOOKUP(C34,Config!A36:B39,2,FALSE),"")</f>
        <v/>
      </c>
      <c r="C34" s="5" t="str">
        <f>IF(ISNA(VLOOKUP($A34,Table1[],2,FALSE)),"",VLOOKUP($A34,Table1[],2,FALSE))</f>
        <v/>
      </c>
      <c r="D34" s="5" t="str">
        <f>IF(ISNA(VLOOKUP($A34,Table1[],3,FALSE)),"",VLOOKUP($A34,Table1[],3,FALSE))</f>
        <v/>
      </c>
      <c r="E34" s="5" t="str">
        <f>IF(ISNA(VLOOKUP($A34,Table1[],2,FALSE)),"",VLOOKUP($A34,Table1[],4,FALSE))</f>
        <v/>
      </c>
    </row>
    <row r="35" spans="1:5" ht="20" customHeight="1" x14ac:dyDescent="0.35">
      <c r="A35" s="5"/>
      <c r="B35" s="6" t="str">
        <f>IF(C35&lt;&gt;"",VLOOKUP(C35,Config!A37:B40,2,FALSE),"")</f>
        <v/>
      </c>
      <c r="C35" s="5" t="str">
        <f>IF(ISNA(VLOOKUP($A35,Table1[],2,FALSE)),"",VLOOKUP($A35,Table1[],2,FALSE))</f>
        <v/>
      </c>
      <c r="D35" s="5" t="str">
        <f>IF(ISNA(VLOOKUP($A35,Table1[],3,FALSE)),"",VLOOKUP($A35,Table1[],3,FALSE))</f>
        <v/>
      </c>
      <c r="E35" s="5" t="str">
        <f>IF(ISNA(VLOOKUP($A35,Table1[],2,FALSE)),"",VLOOKUP($A35,Table1[],4,FALSE))</f>
        <v/>
      </c>
    </row>
    <row r="36" spans="1:5" ht="20" customHeight="1" x14ac:dyDescent="0.35">
      <c r="A36" s="5"/>
      <c r="B36" s="6" t="str">
        <f>IF(C36&lt;&gt;"",VLOOKUP(C36,Config!A38:B41,2,FALSE),"")</f>
        <v/>
      </c>
      <c r="C36" s="5" t="str">
        <f>IF(ISNA(VLOOKUP($A36,Table1[],2,FALSE)),"",VLOOKUP($A36,Table1[],2,FALSE))</f>
        <v/>
      </c>
      <c r="D36" s="5" t="str">
        <f>IF(ISNA(VLOOKUP($A36,Table1[],3,FALSE)),"",VLOOKUP($A36,Table1[],3,FALSE))</f>
        <v/>
      </c>
      <c r="E36" s="5" t="str">
        <f>IF(ISNA(VLOOKUP($A36,Table1[],2,FALSE)),"",VLOOKUP($A36,Table1[],4,FALSE))</f>
        <v/>
      </c>
    </row>
    <row r="37" spans="1:5" ht="20" customHeight="1" x14ac:dyDescent="0.35">
      <c r="A37" s="5"/>
      <c r="B37" s="6" t="str">
        <f>IF(C37&lt;&gt;"",VLOOKUP(C37,Config!A39:B42,2,FALSE),"")</f>
        <v/>
      </c>
      <c r="C37" s="5" t="str">
        <f>IF(ISNA(VLOOKUP($A37,Table1[],2,FALSE)),"",VLOOKUP($A37,Table1[],2,FALSE))</f>
        <v/>
      </c>
      <c r="D37" s="5" t="str">
        <f>IF(ISNA(VLOOKUP($A37,Table1[],3,FALSE)),"",VLOOKUP($A37,Table1[],3,FALSE))</f>
        <v/>
      </c>
      <c r="E37" s="5" t="str">
        <f>IF(ISNA(VLOOKUP($A37,Table1[],2,FALSE)),"",VLOOKUP($A37,Table1[],4,FALSE))</f>
        <v/>
      </c>
    </row>
    <row r="38" spans="1:5" ht="20" customHeight="1" x14ac:dyDescent="0.35">
      <c r="A38" s="5"/>
      <c r="B38" s="6" t="str">
        <f>IF(C38&lt;&gt;"",VLOOKUP(C38,Config!A40:B43,2,FALSE),"")</f>
        <v/>
      </c>
      <c r="C38" s="5" t="str">
        <f>IF(ISNA(VLOOKUP($A38,Table1[],2,FALSE)),"",VLOOKUP($A38,Table1[],2,FALSE))</f>
        <v/>
      </c>
      <c r="D38" s="5" t="str">
        <f>IF(ISNA(VLOOKUP($A38,Table1[],3,FALSE)),"",VLOOKUP($A38,Table1[],3,FALSE))</f>
        <v/>
      </c>
      <c r="E38" s="5" t="str">
        <f>IF(ISNA(VLOOKUP($A38,Table1[],2,FALSE)),"",VLOOKUP($A38,Table1[],4,FALSE))</f>
        <v/>
      </c>
    </row>
    <row r="39" spans="1:5" ht="20" customHeight="1" x14ac:dyDescent="0.35">
      <c r="A39" s="5"/>
      <c r="B39" s="6" t="str">
        <f>IF(C39&lt;&gt;"",VLOOKUP(C39,Config!A41:B44,2,FALSE),"")</f>
        <v/>
      </c>
      <c r="C39" s="5" t="str">
        <f>IF(ISNA(VLOOKUP($A39,Table1[],2,FALSE)),"",VLOOKUP($A39,Table1[],2,FALSE))</f>
        <v/>
      </c>
      <c r="D39" s="5" t="str">
        <f>IF(ISNA(VLOOKUP($A39,Table1[],3,FALSE)),"",VLOOKUP($A39,Table1[],3,FALSE))</f>
        <v/>
      </c>
      <c r="E39" s="5" t="str">
        <f>IF(ISNA(VLOOKUP($A39,Table1[],2,FALSE)),"",VLOOKUP($A39,Table1[],4,FALSE))</f>
        <v/>
      </c>
    </row>
    <row r="40" spans="1:5" ht="20" customHeight="1" x14ac:dyDescent="0.35">
      <c r="A40" s="5"/>
      <c r="B40" s="6" t="str">
        <f>IF(C40&lt;&gt;"",VLOOKUP(C40,Config!A42:B45,2,FALSE),"")</f>
        <v/>
      </c>
      <c r="C40" s="5" t="str">
        <f>IF(ISNA(VLOOKUP($A40,Table1[],2,FALSE)),"",VLOOKUP($A40,Table1[],2,FALSE))</f>
        <v/>
      </c>
      <c r="D40" s="5" t="str">
        <f>IF(ISNA(VLOOKUP($A40,Table1[],3,FALSE)),"",VLOOKUP($A40,Table1[],3,FALSE))</f>
        <v/>
      </c>
      <c r="E40" s="5" t="str">
        <f>IF(ISNA(VLOOKUP($A40,Table1[],2,FALSE)),"",VLOOKUP($A40,Table1[],4,FALSE))</f>
        <v/>
      </c>
    </row>
    <row r="41" spans="1:5" ht="20" customHeight="1" x14ac:dyDescent="0.35">
      <c r="A41" s="5"/>
      <c r="B41" s="6" t="str">
        <f>IF(C41&lt;&gt;"",VLOOKUP(C41,Config!A43:B46,2,FALSE),"")</f>
        <v/>
      </c>
      <c r="C41" s="5" t="str">
        <f>IF(ISNA(VLOOKUP($A41,Table1[],2,FALSE)),"",VLOOKUP($A41,Table1[],2,FALSE))</f>
        <v/>
      </c>
      <c r="D41" s="5" t="str">
        <f>IF(ISNA(VLOOKUP($A41,Table1[],3,FALSE)),"",VLOOKUP($A41,Table1[],3,FALSE))</f>
        <v/>
      </c>
      <c r="E41" s="5" t="str">
        <f>IF(ISNA(VLOOKUP($A41,Table1[],2,FALSE)),"",VLOOKUP($A41,Table1[],4,FALSE))</f>
        <v/>
      </c>
    </row>
    <row r="42" spans="1:5" ht="20" customHeight="1" x14ac:dyDescent="0.35">
      <c r="A42" s="5"/>
      <c r="B42" s="6" t="str">
        <f>IF(C42&lt;&gt;"",VLOOKUP(C42,Config!A44:B47,2,FALSE),"")</f>
        <v/>
      </c>
      <c r="C42" s="5" t="str">
        <f>IF(ISNA(VLOOKUP($A42,Table1[],2,FALSE)),"",VLOOKUP($A42,Table1[],2,FALSE))</f>
        <v/>
      </c>
      <c r="D42" s="5" t="str">
        <f>IF(ISNA(VLOOKUP($A42,Table1[],3,FALSE)),"",VLOOKUP($A42,Table1[],3,FALSE))</f>
        <v/>
      </c>
      <c r="E42" s="5" t="str">
        <f>IF(ISNA(VLOOKUP($A42,Table1[],2,FALSE)),"",VLOOKUP($A42,Table1[],4,FALSE))</f>
        <v/>
      </c>
    </row>
    <row r="43" spans="1:5" ht="20" customHeight="1" x14ac:dyDescent="0.35">
      <c r="A43" s="5"/>
      <c r="B43" s="6" t="str">
        <f>IF(C43&lt;&gt;"",VLOOKUP(C43,Config!A45:B48,2,FALSE),"")</f>
        <v/>
      </c>
      <c r="C43" s="5" t="str">
        <f>IF(ISNA(VLOOKUP($A43,Table1[],2,FALSE)),"",VLOOKUP($A43,Table1[],2,FALSE))</f>
        <v/>
      </c>
      <c r="D43" s="5" t="str">
        <f>IF(ISNA(VLOOKUP($A43,Table1[],3,FALSE)),"",VLOOKUP($A43,Table1[],3,FALSE))</f>
        <v/>
      </c>
      <c r="E43" s="5" t="str">
        <f>IF(ISNA(VLOOKUP($A43,Table1[],2,FALSE)),"",VLOOKUP($A43,Table1[],4,FALSE))</f>
        <v/>
      </c>
    </row>
    <row r="44" spans="1:5" ht="20" customHeight="1" x14ac:dyDescent="0.35">
      <c r="A44" s="5"/>
      <c r="B44" s="6" t="str">
        <f>IF(C44&lt;&gt;"",VLOOKUP(C44,Config!A46:B49,2,FALSE),"")</f>
        <v/>
      </c>
      <c r="C44" s="5" t="str">
        <f>IF(ISNA(VLOOKUP($A44,Table1[],2,FALSE)),"",VLOOKUP($A44,Table1[],2,FALSE))</f>
        <v/>
      </c>
      <c r="D44" s="5" t="str">
        <f>IF(ISNA(VLOOKUP($A44,Table1[],3,FALSE)),"",VLOOKUP($A44,Table1[],3,FALSE))</f>
        <v/>
      </c>
      <c r="E44" s="5" t="str">
        <f>IF(ISNA(VLOOKUP($A44,Table1[],2,FALSE)),"",VLOOKUP($A44,Table1[],4,FALSE))</f>
        <v/>
      </c>
    </row>
    <row r="45" spans="1:5" ht="20" customHeight="1" x14ac:dyDescent="0.35">
      <c r="A45" s="5"/>
      <c r="B45" s="6" t="str">
        <f>IF(C45&lt;&gt;"",VLOOKUP(C45,Config!A47:B50,2,FALSE),"")</f>
        <v/>
      </c>
      <c r="C45" s="5" t="str">
        <f>IF(ISNA(VLOOKUP($A45,Table1[],2,FALSE)),"",VLOOKUP($A45,Table1[],2,FALSE))</f>
        <v/>
      </c>
      <c r="D45" s="5" t="str">
        <f>IF(ISNA(VLOOKUP($A45,Table1[],3,FALSE)),"",VLOOKUP($A45,Table1[],3,FALSE))</f>
        <v/>
      </c>
      <c r="E45" s="5" t="str">
        <f>IF(ISNA(VLOOKUP($A45,Table1[],2,FALSE)),"",VLOOKUP($A45,Table1[],4,FALSE))</f>
        <v/>
      </c>
    </row>
    <row r="46" spans="1:5" ht="20" customHeight="1" x14ac:dyDescent="0.35">
      <c r="A46" s="5"/>
      <c r="B46" s="6" t="str">
        <f>IF(C46&lt;&gt;"",VLOOKUP(C46,Config!A48:B51,2,FALSE),"")</f>
        <v/>
      </c>
      <c r="C46" s="5" t="str">
        <f>IF(ISNA(VLOOKUP($A46,Table1[],2,FALSE)),"",VLOOKUP($A46,Table1[],2,FALSE))</f>
        <v/>
      </c>
      <c r="D46" s="5" t="str">
        <f>IF(ISNA(VLOOKUP($A46,Table1[],3,FALSE)),"",VLOOKUP($A46,Table1[],3,FALSE))</f>
        <v/>
      </c>
      <c r="E46" s="5" t="str">
        <f>IF(ISNA(VLOOKUP($A46,Table1[],2,FALSE)),"",VLOOKUP($A46,Table1[],4,FALSE))</f>
        <v/>
      </c>
    </row>
    <row r="47" spans="1:5" ht="20" customHeight="1" x14ac:dyDescent="0.35">
      <c r="A47" s="5"/>
      <c r="B47" s="6" t="str">
        <f>IF(C47&lt;&gt;"",VLOOKUP(C47,Config!A49:B52,2,FALSE),"")</f>
        <v/>
      </c>
      <c r="C47" s="5" t="str">
        <f>IF(ISNA(VLOOKUP($A47,Table1[],2,FALSE)),"",VLOOKUP($A47,Table1[],2,FALSE))</f>
        <v/>
      </c>
      <c r="D47" s="5" t="str">
        <f>IF(ISNA(VLOOKUP($A47,Table1[],3,FALSE)),"",VLOOKUP($A47,Table1[],3,FALSE))</f>
        <v/>
      </c>
      <c r="E47" s="5" t="str">
        <f>IF(ISNA(VLOOKUP($A47,Table1[],2,FALSE)),"",VLOOKUP($A47,Table1[],4,FALSE))</f>
        <v/>
      </c>
    </row>
    <row r="48" spans="1:5" ht="20" customHeight="1" x14ac:dyDescent="0.35">
      <c r="A48" s="5"/>
      <c r="B48" s="6" t="str">
        <f>IF(C48&lt;&gt;"",VLOOKUP(C48,Config!A50:B53,2,FALSE),"")</f>
        <v/>
      </c>
      <c r="C48" s="5" t="str">
        <f>IF(ISNA(VLOOKUP($A48,Table1[],2,FALSE)),"",VLOOKUP($A48,Table1[],2,FALSE))</f>
        <v/>
      </c>
      <c r="D48" s="5" t="str">
        <f>IF(ISNA(VLOOKUP($A48,Table1[],3,FALSE)),"",VLOOKUP($A48,Table1[],3,FALSE))</f>
        <v/>
      </c>
      <c r="E48" s="5" t="str">
        <f>IF(ISNA(VLOOKUP($A48,Table1[],2,FALSE)),"",VLOOKUP($A48,Table1[],4,FALSE))</f>
        <v/>
      </c>
    </row>
    <row r="49" spans="1:5" ht="20" customHeight="1" x14ac:dyDescent="0.35">
      <c r="A49" s="5"/>
      <c r="B49" s="6" t="str">
        <f>IF(C49&lt;&gt;"",VLOOKUP(C49,Config!A51:B54,2,FALSE),"")</f>
        <v/>
      </c>
      <c r="C49" s="5" t="str">
        <f>IF(ISNA(VLOOKUP($A49,Table1[],2,FALSE)),"",VLOOKUP($A49,Table1[],2,FALSE))</f>
        <v/>
      </c>
      <c r="D49" s="5" t="str">
        <f>IF(ISNA(VLOOKUP($A49,Table1[],3,FALSE)),"",VLOOKUP($A49,Table1[],3,FALSE))</f>
        <v/>
      </c>
      <c r="E49" s="5" t="str">
        <f>IF(ISNA(VLOOKUP($A49,Table1[],2,FALSE)),"",VLOOKUP($A49,Table1[],4,FALSE))</f>
        <v/>
      </c>
    </row>
    <row r="50" spans="1:5" ht="20" customHeight="1" x14ac:dyDescent="0.35">
      <c r="A50" s="5"/>
      <c r="B50" s="6" t="str">
        <f>IF(C50&lt;&gt;"",VLOOKUP(C50,Config!A52:B55,2,FALSE),"")</f>
        <v/>
      </c>
      <c r="C50" s="5" t="str">
        <f>IF(ISNA(VLOOKUP($A50,Table1[],2,FALSE)),"",VLOOKUP($A50,Table1[],2,FALSE))</f>
        <v/>
      </c>
      <c r="D50" s="5" t="str">
        <f>IF(ISNA(VLOOKUP($A50,Table1[],3,FALSE)),"",VLOOKUP($A50,Table1[],3,FALSE))</f>
        <v/>
      </c>
      <c r="E50" s="5" t="str">
        <f>IF(ISNA(VLOOKUP($A50,Table1[],2,FALSE)),"",VLOOKUP($A50,Table1[],4,FALSE))</f>
        <v/>
      </c>
    </row>
    <row r="51" spans="1:5" ht="20" customHeight="1" x14ac:dyDescent="0.35">
      <c r="A51" s="5"/>
      <c r="B51" s="6" t="str">
        <f>IF(C51&lt;&gt;"",VLOOKUP(C51,Config!A53:B56,2,FALSE),"")</f>
        <v/>
      </c>
      <c r="C51" s="5" t="str">
        <f>IF(ISNA(VLOOKUP($A51,Table1[],2,FALSE)),"",VLOOKUP($A51,Table1[],2,FALSE))</f>
        <v/>
      </c>
      <c r="D51" s="5" t="str">
        <f>IF(ISNA(VLOOKUP($A51,Table1[],3,FALSE)),"",VLOOKUP($A51,Table1[],3,FALSE))</f>
        <v/>
      </c>
      <c r="E51" s="5" t="str">
        <f>IF(ISNA(VLOOKUP($A51,Table1[],2,FALSE)),"",VLOOKUP($A51,Table1[],4,FALSE))</f>
        <v/>
      </c>
    </row>
    <row r="52" spans="1:5" ht="20" customHeight="1" x14ac:dyDescent="0.35">
      <c r="A52" s="5"/>
      <c r="B52" s="6" t="str">
        <f>IF(C52&lt;&gt;"",VLOOKUP(C52,Config!A54:B57,2,FALSE),"")</f>
        <v/>
      </c>
      <c r="C52" s="5" t="str">
        <f>IF(ISNA(VLOOKUP($A52,Table1[],2,FALSE)),"",VLOOKUP($A52,Table1[],2,FALSE))</f>
        <v/>
      </c>
      <c r="D52" s="5" t="str">
        <f>IF(ISNA(VLOOKUP($A52,Table1[],3,FALSE)),"",VLOOKUP($A52,Table1[],3,FALSE))</f>
        <v/>
      </c>
      <c r="E52" s="5" t="str">
        <f>IF(ISNA(VLOOKUP($A52,Table1[],2,FALSE)),"",VLOOKUP($A52,Table1[],4,FALSE))</f>
        <v/>
      </c>
    </row>
    <row r="53" spans="1:5" ht="20" customHeight="1" x14ac:dyDescent="0.35">
      <c r="A53" s="5"/>
      <c r="B53" s="6" t="str">
        <f>IF(C53&lt;&gt;"",VLOOKUP(C53,Config!A55:B58,2,FALSE),"")</f>
        <v/>
      </c>
      <c r="C53" s="5" t="str">
        <f>IF(ISNA(VLOOKUP($A53,Table1[],2,FALSE)),"",VLOOKUP($A53,Table1[],2,FALSE))</f>
        <v/>
      </c>
      <c r="D53" s="5" t="str">
        <f>IF(ISNA(VLOOKUP($A53,Table1[],3,FALSE)),"",VLOOKUP($A53,Table1[],3,FALSE))</f>
        <v/>
      </c>
      <c r="E53" s="5" t="str">
        <f>IF(ISNA(VLOOKUP($A53,Table1[],2,FALSE)),"",VLOOKUP($A53,Table1[],4,FALSE))</f>
        <v/>
      </c>
    </row>
    <row r="54" spans="1:5" ht="20" customHeight="1" x14ac:dyDescent="0.35">
      <c r="A54" s="5"/>
      <c r="B54" s="6" t="str">
        <f>IF(C54&lt;&gt;"",VLOOKUP(C54,Config!A56:B59,2,FALSE),"")</f>
        <v/>
      </c>
      <c r="C54" s="5" t="str">
        <f>IF(ISNA(VLOOKUP($A54,Table1[],2,FALSE)),"",VLOOKUP($A54,Table1[],2,FALSE))</f>
        <v/>
      </c>
      <c r="D54" s="5" t="str">
        <f>IF(ISNA(VLOOKUP($A54,Table1[],3,FALSE)),"",VLOOKUP($A54,Table1[],3,FALSE))</f>
        <v/>
      </c>
      <c r="E54" s="5" t="str">
        <f>IF(ISNA(VLOOKUP($A54,Table1[],2,FALSE)),"",VLOOKUP($A54,Table1[],4,FALSE))</f>
        <v/>
      </c>
    </row>
    <row r="55" spans="1:5" ht="20" customHeight="1" x14ac:dyDescent="0.35">
      <c r="A55" s="5"/>
      <c r="B55" s="6" t="str">
        <f>IF(C55&lt;&gt;"",VLOOKUP(C55,Config!A57:B60,2,FALSE),"")</f>
        <v/>
      </c>
      <c r="C55" s="5" t="str">
        <f>IF(ISNA(VLOOKUP($A55,Table1[],2,FALSE)),"",VLOOKUP($A55,Table1[],2,FALSE))</f>
        <v/>
      </c>
      <c r="D55" s="5" t="str">
        <f>IF(ISNA(VLOOKUP($A55,Table1[],3,FALSE)),"",VLOOKUP($A55,Table1[],3,FALSE))</f>
        <v/>
      </c>
      <c r="E55" s="5" t="str">
        <f>IF(ISNA(VLOOKUP($A55,Table1[],2,FALSE)),"",VLOOKUP($A55,Table1[],4,FALSE))</f>
        <v/>
      </c>
    </row>
    <row r="56" spans="1:5" ht="20" customHeight="1" x14ac:dyDescent="0.35">
      <c r="A56" s="5"/>
      <c r="B56" s="6" t="str">
        <f>IF(C56&lt;&gt;"",VLOOKUP(C56,Config!A58:B61,2,FALSE),"")</f>
        <v/>
      </c>
      <c r="C56" s="5" t="str">
        <f>IF(ISNA(VLOOKUP($A56,Table1[],2,FALSE)),"",VLOOKUP($A56,Table1[],2,FALSE))</f>
        <v/>
      </c>
      <c r="D56" s="5" t="str">
        <f>IF(ISNA(VLOOKUP($A56,Table1[],3,FALSE)),"",VLOOKUP($A56,Table1[],3,FALSE))</f>
        <v/>
      </c>
      <c r="E56" s="5" t="str">
        <f>IF(ISNA(VLOOKUP($A56,Table1[],2,FALSE)),"",VLOOKUP($A56,Table1[],4,FALSE))</f>
        <v/>
      </c>
    </row>
    <row r="57" spans="1:5" ht="20" customHeight="1" x14ac:dyDescent="0.35">
      <c r="A57" s="5"/>
      <c r="B57" s="6" t="str">
        <f>IF(C57&lt;&gt;"",VLOOKUP(C57,Config!A59:B62,2,FALSE),"")</f>
        <v/>
      </c>
      <c r="C57" s="5" t="str">
        <f>IF(ISNA(VLOOKUP($A57,Table1[],2,FALSE)),"",VLOOKUP($A57,Table1[],2,FALSE))</f>
        <v/>
      </c>
      <c r="D57" s="5" t="str">
        <f>IF(ISNA(VLOOKUP($A57,Table1[],3,FALSE)),"",VLOOKUP($A57,Table1[],3,FALSE))</f>
        <v/>
      </c>
      <c r="E57" s="5" t="str">
        <f>IF(ISNA(VLOOKUP($A57,Table1[],2,FALSE)),"",VLOOKUP($A57,Table1[],4,FALSE))</f>
        <v/>
      </c>
    </row>
    <row r="58" spans="1:5" ht="20" customHeight="1" x14ac:dyDescent="0.35">
      <c r="A58" s="5"/>
      <c r="B58" s="6" t="str">
        <f>IF(C58&lt;&gt;"",VLOOKUP(C58,Config!A60:B63,2,FALSE),"")</f>
        <v/>
      </c>
      <c r="C58" s="5" t="str">
        <f>IF(ISNA(VLOOKUP($A58,Table1[],2,FALSE)),"",VLOOKUP($A58,Table1[],2,FALSE))</f>
        <v/>
      </c>
      <c r="D58" s="5" t="str">
        <f>IF(ISNA(VLOOKUP($A58,Table1[],3,FALSE)),"",VLOOKUP($A58,Table1[],3,FALSE))</f>
        <v/>
      </c>
      <c r="E58" s="5" t="str">
        <f>IF(ISNA(VLOOKUP($A58,Table1[],2,FALSE)),"",VLOOKUP($A58,Table1[],4,FALSE))</f>
        <v/>
      </c>
    </row>
    <row r="59" spans="1:5" ht="20" customHeight="1" x14ac:dyDescent="0.35">
      <c r="A59" s="5"/>
      <c r="B59" s="6" t="str">
        <f>IF(C59&lt;&gt;"",VLOOKUP(C59,Config!A61:B64,2,FALSE),"")</f>
        <v/>
      </c>
      <c r="C59" s="5" t="str">
        <f>IF(ISNA(VLOOKUP($A59,Table1[],2,FALSE)),"",VLOOKUP($A59,Table1[],2,FALSE))</f>
        <v/>
      </c>
      <c r="D59" s="5" t="str">
        <f>IF(ISNA(VLOOKUP($A59,Table1[],3,FALSE)),"",VLOOKUP($A59,Table1[],3,FALSE))</f>
        <v/>
      </c>
      <c r="E59" s="5" t="str">
        <f>IF(ISNA(VLOOKUP($A59,Table1[],2,FALSE)),"",VLOOKUP($A59,Table1[],4,FALSE))</f>
        <v/>
      </c>
    </row>
    <row r="60" spans="1:5" ht="20" customHeight="1" x14ac:dyDescent="0.35">
      <c r="A60" s="5"/>
      <c r="B60" s="6" t="str">
        <f>IF(C60&lt;&gt;"",VLOOKUP(C60,Config!A62:B65,2,FALSE),"")</f>
        <v/>
      </c>
      <c r="C60" s="5" t="str">
        <f>IF(ISNA(VLOOKUP($A60,Table1[],2,FALSE)),"",VLOOKUP($A60,Table1[],2,FALSE))</f>
        <v/>
      </c>
      <c r="D60" s="5" t="str">
        <f>IF(ISNA(VLOOKUP($A60,Table1[],3,FALSE)),"",VLOOKUP($A60,Table1[],3,FALSE))</f>
        <v/>
      </c>
      <c r="E60" s="5" t="str">
        <f>IF(ISNA(VLOOKUP($A60,Table1[],2,FALSE)),"",VLOOKUP($A60,Table1[],4,FALSE))</f>
        <v/>
      </c>
    </row>
    <row r="61" spans="1:5" ht="20" customHeight="1" x14ac:dyDescent="0.35">
      <c r="A61" s="5"/>
      <c r="B61" s="6" t="str">
        <f>IF(C61&lt;&gt;"",VLOOKUP(C61,Config!A63:B66,2,FALSE),"")</f>
        <v/>
      </c>
      <c r="C61" s="5" t="str">
        <f>IF(ISNA(VLOOKUP($A61,Table1[],2,FALSE)),"",VLOOKUP($A61,Table1[],2,FALSE))</f>
        <v/>
      </c>
      <c r="D61" s="5" t="str">
        <f>IF(ISNA(VLOOKUP($A61,Table1[],3,FALSE)),"",VLOOKUP($A61,Table1[],3,FALSE))</f>
        <v/>
      </c>
      <c r="E61" s="5" t="str">
        <f>IF(ISNA(VLOOKUP($A61,Table1[],2,FALSE)),"",VLOOKUP($A61,Table1[],4,FALSE))</f>
        <v/>
      </c>
    </row>
    <row r="62" spans="1:5" ht="20" customHeight="1" x14ac:dyDescent="0.35">
      <c r="A62" s="5"/>
      <c r="B62" s="6" t="str">
        <f>IF(C62&lt;&gt;"",VLOOKUP(C62,Config!A64:B67,2,FALSE),"")</f>
        <v/>
      </c>
      <c r="C62" s="5" t="str">
        <f>IF(ISNA(VLOOKUP($A62,Table1[],2,FALSE)),"",VLOOKUP($A62,Table1[],2,FALSE))</f>
        <v/>
      </c>
      <c r="D62" s="5" t="str">
        <f>IF(ISNA(VLOOKUP($A62,Table1[],3,FALSE)),"",VLOOKUP($A62,Table1[],3,FALSE))</f>
        <v/>
      </c>
      <c r="E62" s="5" t="str">
        <f>IF(ISNA(VLOOKUP($A62,Table1[],2,FALSE)),"",VLOOKUP($A62,Table1[],4,FALSE))</f>
        <v/>
      </c>
    </row>
    <row r="63" spans="1:5" ht="20" customHeight="1" x14ac:dyDescent="0.35">
      <c r="A63" s="5"/>
      <c r="B63" s="6" t="str">
        <f>IF(C63&lt;&gt;"",VLOOKUP(C63,Config!A65:B68,2,FALSE),"")</f>
        <v/>
      </c>
      <c r="C63" s="5" t="str">
        <f>IF(ISNA(VLOOKUP($A63,Table1[],2,FALSE)),"",VLOOKUP($A63,Table1[],2,FALSE))</f>
        <v/>
      </c>
      <c r="D63" s="5" t="str">
        <f>IF(ISNA(VLOOKUP($A63,Table1[],3,FALSE)),"",VLOOKUP($A63,Table1[],3,FALSE))</f>
        <v/>
      </c>
      <c r="E63" s="5" t="str">
        <f>IF(ISNA(VLOOKUP($A63,Table1[],2,FALSE)),"",VLOOKUP($A63,Table1[],4,FALSE))</f>
        <v/>
      </c>
    </row>
    <row r="64" spans="1:5" ht="20" customHeight="1" x14ac:dyDescent="0.35">
      <c r="A64" s="5"/>
      <c r="B64" s="6" t="str">
        <f>IF(C64&lt;&gt;"",VLOOKUP(C64,Config!A66:B69,2,FALSE),"")</f>
        <v/>
      </c>
      <c r="C64" s="5" t="str">
        <f>IF(ISNA(VLOOKUP($A64,Table1[],2,FALSE)),"",VLOOKUP($A64,Table1[],2,FALSE))</f>
        <v/>
      </c>
      <c r="D64" s="5" t="str">
        <f>IF(ISNA(VLOOKUP($A64,Table1[],3,FALSE)),"",VLOOKUP($A64,Table1[],3,FALSE))</f>
        <v/>
      </c>
      <c r="E64" s="5" t="str">
        <f>IF(ISNA(VLOOKUP($A64,Table1[],2,FALSE)),"",VLOOKUP($A64,Table1[],4,FALSE))</f>
        <v/>
      </c>
    </row>
    <row r="65" spans="1:5" ht="20" customHeight="1" x14ac:dyDescent="0.35">
      <c r="A65" s="5"/>
      <c r="B65" s="6" t="str">
        <f>IF(C65&lt;&gt;"",VLOOKUP(C65,Config!A67:B70,2,FALSE),"")</f>
        <v/>
      </c>
      <c r="C65" s="5" t="str">
        <f>IF(ISNA(VLOOKUP($A65,Table1[],2,FALSE)),"",VLOOKUP($A65,Table1[],2,FALSE))</f>
        <v/>
      </c>
      <c r="D65" s="5" t="str">
        <f>IF(ISNA(VLOOKUP($A65,Table1[],3,FALSE)),"",VLOOKUP($A65,Table1[],3,FALSE))</f>
        <v/>
      </c>
      <c r="E65" s="5" t="str">
        <f>IF(ISNA(VLOOKUP($A65,Table1[],2,FALSE)),"",VLOOKUP($A65,Table1[],4,FALSE))</f>
        <v/>
      </c>
    </row>
    <row r="66" spans="1:5" ht="20" customHeight="1" x14ac:dyDescent="0.35">
      <c r="A66" s="5"/>
      <c r="B66" s="6" t="str">
        <f>IF(C66&lt;&gt;"",VLOOKUP(C66,Config!A68:B71,2,FALSE),"")</f>
        <v/>
      </c>
      <c r="C66" s="5" t="str">
        <f>IF(ISNA(VLOOKUP($A66,Table1[],2,FALSE)),"",VLOOKUP($A66,Table1[],2,FALSE))</f>
        <v/>
      </c>
      <c r="D66" s="5" t="str">
        <f>IF(ISNA(VLOOKUP($A66,Table1[],3,FALSE)),"",VLOOKUP($A66,Table1[],3,FALSE))</f>
        <v/>
      </c>
      <c r="E66" s="5" t="str">
        <f>IF(ISNA(VLOOKUP($A66,Table1[],2,FALSE)),"",VLOOKUP($A66,Table1[],4,FALSE))</f>
        <v/>
      </c>
    </row>
    <row r="67" spans="1:5" ht="20" customHeight="1" x14ac:dyDescent="0.35">
      <c r="A67" s="5"/>
      <c r="B67" s="6" t="str">
        <f>IF(C67&lt;&gt;"",VLOOKUP(C67,Config!A69:B72,2,FALSE),"")</f>
        <v/>
      </c>
      <c r="C67" s="5" t="str">
        <f>IF(ISNA(VLOOKUP($A67,Table1[],2,FALSE)),"",VLOOKUP($A67,Table1[],2,FALSE))</f>
        <v/>
      </c>
      <c r="D67" s="5" t="str">
        <f>IF(ISNA(VLOOKUP($A67,Table1[],3,FALSE)),"",VLOOKUP($A67,Table1[],3,FALSE))</f>
        <v/>
      </c>
      <c r="E67" s="5" t="str">
        <f>IF(ISNA(VLOOKUP($A67,Table1[],2,FALSE)),"",VLOOKUP($A67,Table1[],4,FALSE))</f>
        <v/>
      </c>
    </row>
    <row r="68" spans="1:5" ht="20" customHeight="1" x14ac:dyDescent="0.35">
      <c r="A68" s="5"/>
      <c r="B68" s="6" t="str">
        <f>IF(C68&lt;&gt;"",VLOOKUP(C68,Config!A70:B73,2,FALSE),"")</f>
        <v/>
      </c>
      <c r="C68" s="5" t="str">
        <f>IF(ISNA(VLOOKUP($A68,Table1[],2,FALSE)),"",VLOOKUP($A68,Table1[],2,FALSE))</f>
        <v/>
      </c>
      <c r="D68" s="5" t="str">
        <f>IF(ISNA(VLOOKUP($A68,Table1[],3,FALSE)),"",VLOOKUP($A68,Table1[],3,FALSE))</f>
        <v/>
      </c>
      <c r="E68" s="5" t="str">
        <f>IF(ISNA(VLOOKUP($A68,Table1[],2,FALSE)),"",VLOOKUP($A68,Table1[],4,FALSE))</f>
        <v/>
      </c>
    </row>
    <row r="69" spans="1:5" ht="20" customHeight="1" x14ac:dyDescent="0.35">
      <c r="A69" s="5"/>
      <c r="B69" s="6" t="str">
        <f>IF(C69&lt;&gt;"",VLOOKUP(C69,Config!A71:B74,2,FALSE),"")</f>
        <v/>
      </c>
      <c r="C69" s="5" t="str">
        <f>IF(ISNA(VLOOKUP($A69,Table1[],2,FALSE)),"",VLOOKUP($A69,Table1[],2,FALSE))</f>
        <v/>
      </c>
      <c r="D69" s="5" t="str">
        <f>IF(ISNA(VLOOKUP($A69,Table1[],3,FALSE)),"",VLOOKUP($A69,Table1[],3,FALSE))</f>
        <v/>
      </c>
      <c r="E69" s="5" t="str">
        <f>IF(ISNA(VLOOKUP($A69,Table1[],2,FALSE)),"",VLOOKUP($A69,Table1[],4,FALSE))</f>
        <v/>
      </c>
    </row>
    <row r="70" spans="1:5" ht="20" customHeight="1" x14ac:dyDescent="0.35">
      <c r="A70" s="5"/>
      <c r="B70" s="6" t="str">
        <f>IF(C70&lt;&gt;"",VLOOKUP(C70,Config!A72:B75,2,FALSE),"")</f>
        <v/>
      </c>
      <c r="C70" s="5" t="str">
        <f>IF(ISNA(VLOOKUP($A70,Table1[],2,FALSE)),"",VLOOKUP($A70,Table1[],2,FALSE))</f>
        <v/>
      </c>
      <c r="D70" s="5" t="str">
        <f>IF(ISNA(VLOOKUP($A70,Table1[],3,FALSE)),"",VLOOKUP($A70,Table1[],3,FALSE))</f>
        <v/>
      </c>
      <c r="E70" s="5" t="str">
        <f>IF(ISNA(VLOOKUP($A70,Table1[],2,FALSE)),"",VLOOKUP($A70,Table1[],4,FALSE))</f>
        <v/>
      </c>
    </row>
    <row r="71" spans="1:5" ht="20" customHeight="1" x14ac:dyDescent="0.35">
      <c r="A71" s="5"/>
      <c r="B71" s="6" t="str">
        <f>IF(C71&lt;&gt;"",VLOOKUP(C71,Config!A73:B76,2,FALSE),"")</f>
        <v/>
      </c>
      <c r="C71" s="5" t="str">
        <f>IF(ISNA(VLOOKUP($A71,Table1[],2,FALSE)),"",VLOOKUP($A71,Table1[],2,FALSE))</f>
        <v/>
      </c>
      <c r="D71" s="5" t="str">
        <f>IF(ISNA(VLOOKUP($A71,Table1[],3,FALSE)),"",VLOOKUP($A71,Table1[],3,FALSE))</f>
        <v/>
      </c>
      <c r="E71" s="5" t="str">
        <f>IF(ISNA(VLOOKUP($A71,Table1[],2,FALSE)),"",VLOOKUP($A71,Table1[],4,FALSE))</f>
        <v/>
      </c>
    </row>
    <row r="72" spans="1:5" ht="20" customHeight="1" x14ac:dyDescent="0.35">
      <c r="A72" s="5"/>
      <c r="B72" s="6" t="str">
        <f>IF(C72&lt;&gt;"",VLOOKUP(C72,Config!A74:B77,2,FALSE),"")</f>
        <v/>
      </c>
      <c r="C72" s="5" t="str">
        <f>IF(ISNA(VLOOKUP($A72,Table1[],2,FALSE)),"",VLOOKUP($A72,Table1[],2,FALSE))</f>
        <v/>
      </c>
      <c r="D72" s="5" t="str">
        <f>IF(ISNA(VLOOKUP($A72,Table1[],3,FALSE)),"",VLOOKUP($A72,Table1[],3,FALSE))</f>
        <v/>
      </c>
      <c r="E72" s="5" t="str">
        <f>IF(ISNA(VLOOKUP($A72,Table1[],2,FALSE)),"",VLOOKUP($A72,Table1[],4,FALSE))</f>
        <v/>
      </c>
    </row>
    <row r="73" spans="1:5" ht="20" customHeight="1" x14ac:dyDescent="0.35">
      <c r="A73" s="5"/>
      <c r="B73" s="6" t="str">
        <f>IF(C73&lt;&gt;"",VLOOKUP(C73,Config!A75:B78,2,FALSE),"")</f>
        <v/>
      </c>
      <c r="C73" s="5" t="str">
        <f>IF(ISNA(VLOOKUP($A73,Table1[],2,FALSE)),"",VLOOKUP($A73,Table1[],2,FALSE))</f>
        <v/>
      </c>
      <c r="D73" s="5" t="str">
        <f>IF(ISNA(VLOOKUP($A73,Table1[],3,FALSE)),"",VLOOKUP($A73,Table1[],3,FALSE))</f>
        <v/>
      </c>
      <c r="E73" s="5" t="str">
        <f>IF(ISNA(VLOOKUP($A73,Table1[],2,FALSE)),"",VLOOKUP($A73,Table1[],4,FALSE))</f>
        <v/>
      </c>
    </row>
    <row r="74" spans="1:5" ht="20" customHeight="1" x14ac:dyDescent="0.35">
      <c r="A74" s="5"/>
      <c r="B74" s="6" t="str">
        <f>IF(C74&lt;&gt;"",VLOOKUP(C74,Config!A76:B79,2,FALSE),"")</f>
        <v/>
      </c>
      <c r="C74" s="5" t="str">
        <f>IF(ISNA(VLOOKUP($A74,Table1[],2,FALSE)),"",VLOOKUP($A74,Table1[],2,FALSE))</f>
        <v/>
      </c>
      <c r="D74" s="5" t="str">
        <f>IF(ISNA(VLOOKUP($A74,Table1[],3,FALSE)),"",VLOOKUP($A74,Table1[],3,FALSE))</f>
        <v/>
      </c>
      <c r="E74" s="5" t="str">
        <f>IF(ISNA(VLOOKUP($A74,Table1[],2,FALSE)),"",VLOOKUP($A74,Table1[],4,FALSE))</f>
        <v/>
      </c>
    </row>
    <row r="75" spans="1:5" ht="20" customHeight="1" x14ac:dyDescent="0.35">
      <c r="A75" s="5"/>
      <c r="B75" s="6" t="str">
        <f>IF(C75&lt;&gt;"",VLOOKUP(C75,Config!A77:B80,2,FALSE),"")</f>
        <v/>
      </c>
      <c r="C75" s="5" t="str">
        <f>IF(ISNA(VLOOKUP($A75,Table1[],2,FALSE)),"",VLOOKUP($A75,Table1[],2,FALSE))</f>
        <v/>
      </c>
      <c r="D75" s="5" t="str">
        <f>IF(ISNA(VLOOKUP($A75,Table1[],3,FALSE)),"",VLOOKUP($A75,Table1[],3,FALSE))</f>
        <v/>
      </c>
      <c r="E75" s="5" t="str">
        <f>IF(ISNA(VLOOKUP($A75,Table1[],2,FALSE)),"",VLOOKUP($A75,Table1[],4,FALSE))</f>
        <v/>
      </c>
    </row>
    <row r="76" spans="1:5" ht="20" customHeight="1" x14ac:dyDescent="0.35">
      <c r="A76" s="5"/>
      <c r="B76" s="6" t="str">
        <f>IF(C76&lt;&gt;"",VLOOKUP(C76,Config!A78:B81,2,FALSE),"")</f>
        <v/>
      </c>
      <c r="C76" s="5" t="str">
        <f>IF(ISNA(VLOOKUP($A76,Table1[],2,FALSE)),"",VLOOKUP($A76,Table1[],2,FALSE))</f>
        <v/>
      </c>
      <c r="D76" s="5" t="str">
        <f>IF(ISNA(VLOOKUP($A76,Table1[],3,FALSE)),"",VLOOKUP($A76,Table1[],3,FALSE))</f>
        <v/>
      </c>
      <c r="E76" s="5" t="str">
        <f>IF(ISNA(VLOOKUP($A76,Table1[],2,FALSE)),"",VLOOKUP($A76,Table1[],4,FALSE))</f>
        <v/>
      </c>
    </row>
    <row r="77" spans="1:5" ht="20" customHeight="1" x14ac:dyDescent="0.35">
      <c r="A77" s="5"/>
      <c r="B77" s="6" t="str">
        <f>IF(C77&lt;&gt;"",VLOOKUP(C77,Config!A79:B82,2,FALSE),"")</f>
        <v/>
      </c>
      <c r="C77" s="5" t="str">
        <f>IF(ISNA(VLOOKUP($A77,Table1[],2,FALSE)),"",VLOOKUP($A77,Table1[],2,FALSE))</f>
        <v/>
      </c>
      <c r="D77" s="5" t="str">
        <f>IF(ISNA(VLOOKUP($A77,Table1[],3,FALSE)),"",VLOOKUP($A77,Table1[],3,FALSE))</f>
        <v/>
      </c>
      <c r="E77" s="5" t="str">
        <f>IF(ISNA(VLOOKUP($A77,Table1[],2,FALSE)),"",VLOOKUP($A77,Table1[],4,FALSE))</f>
        <v/>
      </c>
    </row>
    <row r="78" spans="1:5" ht="20" customHeight="1" x14ac:dyDescent="0.35">
      <c r="A78" s="5"/>
      <c r="B78" s="6" t="str">
        <f>IF(C78&lt;&gt;"",VLOOKUP(C78,Config!A80:B83,2,FALSE),"")</f>
        <v/>
      </c>
      <c r="C78" s="5" t="str">
        <f>IF(ISNA(VLOOKUP($A78,Table1[],2,FALSE)),"",VLOOKUP($A78,Table1[],2,FALSE))</f>
        <v/>
      </c>
      <c r="D78" s="5" t="str">
        <f>IF(ISNA(VLOOKUP($A78,Table1[],3,FALSE)),"",VLOOKUP($A78,Table1[],3,FALSE))</f>
        <v/>
      </c>
      <c r="E78" s="5" t="str">
        <f>IF(ISNA(VLOOKUP($A78,Table1[],2,FALSE)),"",VLOOKUP($A78,Table1[],4,FALSE))</f>
        <v/>
      </c>
    </row>
    <row r="79" spans="1:5" ht="20" customHeight="1" x14ac:dyDescent="0.35">
      <c r="A79" s="5"/>
      <c r="B79" s="6" t="str">
        <f>IF(C79&lt;&gt;"",VLOOKUP(C79,Config!A81:B84,2,FALSE),"")</f>
        <v/>
      </c>
      <c r="C79" s="5" t="str">
        <f>IF(ISNA(VLOOKUP($A79,Table1[],2,FALSE)),"",VLOOKUP($A79,Table1[],2,FALSE))</f>
        <v/>
      </c>
      <c r="D79" s="5" t="str">
        <f>IF(ISNA(VLOOKUP($A79,Table1[],3,FALSE)),"",VLOOKUP($A79,Table1[],3,FALSE))</f>
        <v/>
      </c>
      <c r="E79" s="5" t="str">
        <f>IF(ISNA(VLOOKUP($A79,Table1[],2,FALSE)),"",VLOOKUP($A79,Table1[],4,FALSE))</f>
        <v/>
      </c>
    </row>
    <row r="80" spans="1:5" ht="20" customHeight="1" x14ac:dyDescent="0.35">
      <c r="A80" s="5"/>
      <c r="B80" s="6" t="str">
        <f>IF(C80&lt;&gt;"",VLOOKUP(C80,Config!A82:B85,2,FALSE),"")</f>
        <v/>
      </c>
      <c r="C80" s="5" t="str">
        <f>IF(ISNA(VLOOKUP($A80,Table1[],2,FALSE)),"",VLOOKUP($A80,Table1[],2,FALSE))</f>
        <v/>
      </c>
      <c r="D80" s="5" t="str">
        <f>IF(ISNA(VLOOKUP($A80,Table1[],3,FALSE)),"",VLOOKUP($A80,Table1[],3,FALSE))</f>
        <v/>
      </c>
      <c r="E80" s="5" t="str">
        <f>IF(ISNA(VLOOKUP($A80,Table1[],2,FALSE)),"",VLOOKUP($A80,Table1[],4,FALSE))</f>
        <v/>
      </c>
    </row>
    <row r="81" spans="1:5" ht="20" customHeight="1" x14ac:dyDescent="0.35">
      <c r="A81" s="5"/>
      <c r="B81" s="6" t="str">
        <f>IF(C81&lt;&gt;"",VLOOKUP(C81,Config!A83:B86,2,FALSE),"")</f>
        <v/>
      </c>
      <c r="C81" s="5" t="str">
        <f>IF(ISNA(VLOOKUP($A81,Table1[],2,FALSE)),"",VLOOKUP($A81,Table1[],2,FALSE))</f>
        <v/>
      </c>
      <c r="D81" s="5" t="str">
        <f>IF(ISNA(VLOOKUP($A81,Table1[],3,FALSE)),"",VLOOKUP($A81,Table1[],3,FALSE))</f>
        <v/>
      </c>
      <c r="E81" s="5" t="str">
        <f>IF(ISNA(VLOOKUP($A81,Table1[],2,FALSE)),"",VLOOKUP($A81,Table1[],4,FALSE))</f>
        <v/>
      </c>
    </row>
    <row r="82" spans="1:5" ht="20" customHeight="1" x14ac:dyDescent="0.35">
      <c r="A82" s="5"/>
      <c r="B82" s="6" t="str">
        <f>IF(C82&lt;&gt;"",VLOOKUP(C82,Config!A84:B87,2,FALSE),"")</f>
        <v/>
      </c>
      <c r="C82" s="5" t="str">
        <f>IF(ISNA(VLOOKUP($A82,Table1[],2,FALSE)),"",VLOOKUP($A82,Table1[],2,FALSE))</f>
        <v/>
      </c>
      <c r="D82" s="5" t="str">
        <f>IF(ISNA(VLOOKUP($A82,Table1[],3,FALSE)),"",VLOOKUP($A82,Table1[],3,FALSE))</f>
        <v/>
      </c>
      <c r="E82" s="5" t="str">
        <f>IF(ISNA(VLOOKUP($A82,Table1[],2,FALSE)),"",VLOOKUP($A82,Table1[],4,FALSE))</f>
        <v/>
      </c>
    </row>
    <row r="83" spans="1:5" ht="20" customHeight="1" x14ac:dyDescent="0.35">
      <c r="A83" s="5"/>
      <c r="B83" s="6" t="str">
        <f>IF(C83&lt;&gt;"",VLOOKUP(C83,Config!A85:B88,2,FALSE),"")</f>
        <v/>
      </c>
      <c r="C83" s="5" t="str">
        <f>IF(ISNA(VLOOKUP($A83,Table1[],2,FALSE)),"",VLOOKUP($A83,Table1[],2,FALSE))</f>
        <v/>
      </c>
      <c r="D83" s="5" t="str">
        <f>IF(ISNA(VLOOKUP($A83,Table1[],3,FALSE)),"",VLOOKUP($A83,Table1[],3,FALSE))</f>
        <v/>
      </c>
      <c r="E83" s="5" t="str">
        <f>IF(ISNA(VLOOKUP($A83,Table1[],2,FALSE)),"",VLOOKUP($A83,Table1[],4,FALSE))</f>
        <v/>
      </c>
    </row>
    <row r="84" spans="1:5" ht="20" customHeight="1" x14ac:dyDescent="0.35">
      <c r="A84" s="5"/>
      <c r="B84" s="6" t="str">
        <f>IF(C84&lt;&gt;"",VLOOKUP(C84,Config!A86:B89,2,FALSE),"")</f>
        <v/>
      </c>
      <c r="C84" s="5" t="str">
        <f>IF(ISNA(VLOOKUP($A84,Table1[],2,FALSE)),"",VLOOKUP($A84,Table1[],2,FALSE))</f>
        <v/>
      </c>
      <c r="D84" s="5" t="str">
        <f>IF(ISNA(VLOOKUP($A84,Table1[],3,FALSE)),"",VLOOKUP($A84,Table1[],3,FALSE))</f>
        <v/>
      </c>
      <c r="E84" s="5" t="str">
        <f>IF(ISNA(VLOOKUP($A84,Table1[],2,FALSE)),"",VLOOKUP($A84,Table1[],4,FALSE))</f>
        <v/>
      </c>
    </row>
    <row r="85" spans="1:5" ht="20" customHeight="1" x14ac:dyDescent="0.35">
      <c r="A85" s="5"/>
      <c r="B85" s="6" t="str">
        <f>IF(C85&lt;&gt;"",VLOOKUP(C85,Config!A87:B90,2,FALSE),"")</f>
        <v/>
      </c>
      <c r="C85" s="5" t="str">
        <f>IF(ISNA(VLOOKUP($A85,Table1[],2,FALSE)),"",VLOOKUP($A85,Table1[],2,FALSE))</f>
        <v/>
      </c>
      <c r="D85" s="5" t="str">
        <f>IF(ISNA(VLOOKUP($A85,Table1[],3,FALSE)),"",VLOOKUP($A85,Table1[],3,FALSE))</f>
        <v/>
      </c>
      <c r="E85" s="5" t="str">
        <f>IF(ISNA(VLOOKUP($A85,Table1[],2,FALSE)),"",VLOOKUP($A85,Table1[],4,FALSE))</f>
        <v/>
      </c>
    </row>
    <row r="86" spans="1:5" ht="20" customHeight="1" x14ac:dyDescent="0.35">
      <c r="A86" s="5"/>
      <c r="B86" s="6" t="str">
        <f>IF(C86&lt;&gt;"",VLOOKUP(C86,Config!A88:B91,2,FALSE),"")</f>
        <v/>
      </c>
      <c r="C86" s="5" t="str">
        <f>IF(ISNA(VLOOKUP($A86,Table1[],2,FALSE)),"",VLOOKUP($A86,Table1[],2,FALSE))</f>
        <v/>
      </c>
      <c r="D86" s="5" t="str">
        <f>IF(ISNA(VLOOKUP($A86,Table1[],3,FALSE)),"",VLOOKUP($A86,Table1[],3,FALSE))</f>
        <v/>
      </c>
      <c r="E86" s="5" t="str">
        <f>IF(ISNA(VLOOKUP($A86,Table1[],2,FALSE)),"",VLOOKUP($A86,Table1[],4,FALSE))</f>
        <v/>
      </c>
    </row>
    <row r="87" spans="1:5" ht="20" customHeight="1" x14ac:dyDescent="0.35">
      <c r="A87" s="5"/>
      <c r="B87" s="6" t="str">
        <f>IF(C87&lt;&gt;"",VLOOKUP(C87,Config!A89:B92,2,FALSE),"")</f>
        <v/>
      </c>
      <c r="C87" s="5" t="str">
        <f>IF(ISNA(VLOOKUP($A87,Table1[],2,FALSE)),"",VLOOKUP($A87,Table1[],2,FALSE))</f>
        <v/>
      </c>
      <c r="D87" s="5" t="str">
        <f>IF(ISNA(VLOOKUP($A87,Table1[],3,FALSE)),"",VLOOKUP($A87,Table1[],3,FALSE))</f>
        <v/>
      </c>
      <c r="E87" s="5" t="str">
        <f>IF(ISNA(VLOOKUP($A87,Table1[],2,FALSE)),"",VLOOKUP($A87,Table1[],4,FALSE))</f>
        <v/>
      </c>
    </row>
    <row r="88" spans="1:5" ht="20" customHeight="1" x14ac:dyDescent="0.35">
      <c r="A88" s="5"/>
      <c r="B88" s="6" t="str">
        <f>IF(C88&lt;&gt;"",VLOOKUP(C88,Config!A90:B93,2,FALSE),"")</f>
        <v/>
      </c>
      <c r="C88" s="5" t="str">
        <f>IF(ISNA(VLOOKUP($A88,Table1[],2,FALSE)),"",VLOOKUP($A88,Table1[],2,FALSE))</f>
        <v/>
      </c>
      <c r="D88" s="5" t="str">
        <f>IF(ISNA(VLOOKUP($A88,Table1[],3,FALSE)),"",VLOOKUP($A88,Table1[],3,FALSE))</f>
        <v/>
      </c>
      <c r="E88" s="5" t="str">
        <f>IF(ISNA(VLOOKUP($A88,Table1[],2,FALSE)),"",VLOOKUP($A88,Table1[],4,FALSE))</f>
        <v/>
      </c>
    </row>
    <row r="89" spans="1:5" ht="20" customHeight="1" x14ac:dyDescent="0.35">
      <c r="A89" s="5"/>
      <c r="B89" s="6" t="str">
        <f>IF(C89&lt;&gt;"",VLOOKUP(C89,Config!A91:B94,2,FALSE),"")</f>
        <v/>
      </c>
      <c r="C89" s="5" t="str">
        <f>IF(ISNA(VLOOKUP($A89,Table1[],2,FALSE)),"",VLOOKUP($A89,Table1[],2,FALSE))</f>
        <v/>
      </c>
      <c r="D89" s="5" t="str">
        <f>IF(ISNA(VLOOKUP($A89,Table1[],3,FALSE)),"",VLOOKUP($A89,Table1[],3,FALSE))</f>
        <v/>
      </c>
      <c r="E89" s="5" t="str">
        <f>IF(ISNA(VLOOKUP($A89,Table1[],2,FALSE)),"",VLOOKUP($A89,Table1[],4,FALSE))</f>
        <v/>
      </c>
    </row>
    <row r="90" spans="1:5" ht="20" customHeight="1" x14ac:dyDescent="0.35">
      <c r="A90" s="5"/>
      <c r="B90" s="6" t="str">
        <f>IF(C90&lt;&gt;"",VLOOKUP(C90,Config!A92:B95,2,FALSE),"")</f>
        <v/>
      </c>
      <c r="C90" s="5" t="str">
        <f>IF(ISNA(VLOOKUP($A90,Table1[],2,FALSE)),"",VLOOKUP($A90,Table1[],2,FALSE))</f>
        <v/>
      </c>
      <c r="D90" s="5" t="str">
        <f>IF(ISNA(VLOOKUP($A90,Table1[],3,FALSE)),"",VLOOKUP($A90,Table1[],3,FALSE))</f>
        <v/>
      </c>
      <c r="E90" s="5" t="str">
        <f>IF(ISNA(VLOOKUP($A90,Table1[],2,FALSE)),"",VLOOKUP($A90,Table1[],4,FALSE))</f>
        <v/>
      </c>
    </row>
    <row r="91" spans="1:5" ht="20" customHeight="1" x14ac:dyDescent="0.35">
      <c r="A91" s="5"/>
      <c r="B91" s="6" t="str">
        <f>IF(C91&lt;&gt;"",VLOOKUP(C91,Config!A93:B96,2,FALSE),"")</f>
        <v/>
      </c>
      <c r="C91" s="5" t="str">
        <f>IF(ISNA(VLOOKUP($A91,Table1[],2,FALSE)),"",VLOOKUP($A91,Table1[],2,FALSE))</f>
        <v/>
      </c>
      <c r="D91" s="5" t="str">
        <f>IF(ISNA(VLOOKUP($A91,Table1[],3,FALSE)),"",VLOOKUP($A91,Table1[],3,FALSE))</f>
        <v/>
      </c>
      <c r="E91" s="5" t="str">
        <f>IF(ISNA(VLOOKUP($A91,Table1[],2,FALSE)),"",VLOOKUP($A91,Table1[],4,FALSE))</f>
        <v/>
      </c>
    </row>
    <row r="92" spans="1:5" ht="20" customHeight="1" x14ac:dyDescent="0.35">
      <c r="A92" s="5"/>
      <c r="B92" s="6" t="str">
        <f>IF(C92&lt;&gt;"",VLOOKUP(C92,Config!A94:B97,2,FALSE),"")</f>
        <v/>
      </c>
      <c r="C92" s="5" t="str">
        <f>IF(ISNA(VLOOKUP($A92,Table1[],2,FALSE)),"",VLOOKUP($A92,Table1[],2,FALSE))</f>
        <v/>
      </c>
      <c r="D92" s="5" t="str">
        <f>IF(ISNA(VLOOKUP($A92,Table1[],3,FALSE)),"",VLOOKUP($A92,Table1[],3,FALSE))</f>
        <v/>
      </c>
      <c r="E92" s="5" t="str">
        <f>IF(ISNA(VLOOKUP($A92,Table1[],2,FALSE)),"",VLOOKUP($A92,Table1[],4,FALSE))</f>
        <v/>
      </c>
    </row>
    <row r="93" spans="1:5" ht="20" customHeight="1" x14ac:dyDescent="0.35">
      <c r="A93" s="5"/>
      <c r="B93" s="6" t="str">
        <f>IF(C93&lt;&gt;"",VLOOKUP(C93,Config!A95:B98,2,FALSE),"")</f>
        <v/>
      </c>
      <c r="C93" s="5" t="str">
        <f>IF(ISNA(VLOOKUP($A93,Table1[],2,FALSE)),"",VLOOKUP($A93,Table1[],2,FALSE))</f>
        <v/>
      </c>
      <c r="D93" s="5" t="str">
        <f>IF(ISNA(VLOOKUP($A93,Table1[],3,FALSE)),"",VLOOKUP($A93,Table1[],3,FALSE))</f>
        <v/>
      </c>
      <c r="E93" s="5" t="str">
        <f>IF(ISNA(VLOOKUP($A93,Table1[],2,FALSE)),"",VLOOKUP($A93,Table1[],4,FALSE))</f>
        <v/>
      </c>
    </row>
    <row r="94" spans="1:5" ht="20" customHeight="1" x14ac:dyDescent="0.35">
      <c r="A94" s="5"/>
      <c r="B94" s="6" t="str">
        <f>IF(C94&lt;&gt;"",VLOOKUP(C94,Config!A96:B99,2,FALSE),"")</f>
        <v/>
      </c>
      <c r="C94" s="5" t="str">
        <f>IF(ISNA(VLOOKUP($A94,Table1[],2,FALSE)),"",VLOOKUP($A94,Table1[],2,FALSE))</f>
        <v/>
      </c>
      <c r="D94" s="5" t="str">
        <f>IF(ISNA(VLOOKUP($A94,Table1[],3,FALSE)),"",VLOOKUP($A94,Table1[],3,FALSE))</f>
        <v/>
      </c>
      <c r="E94" s="5" t="str">
        <f>IF(ISNA(VLOOKUP($A94,Table1[],2,FALSE)),"",VLOOKUP($A94,Table1[],4,FALSE))</f>
        <v/>
      </c>
    </row>
    <row r="95" spans="1:5" ht="20" customHeight="1" x14ac:dyDescent="0.35">
      <c r="A95" s="5"/>
      <c r="B95" s="6" t="str">
        <f>IF(C95&lt;&gt;"",VLOOKUP(C95,Config!A97:B100,2,FALSE),"")</f>
        <v/>
      </c>
      <c r="C95" s="5" t="str">
        <f>IF(ISNA(VLOOKUP($A95,Table1[],2,FALSE)),"",VLOOKUP($A95,Table1[],2,FALSE))</f>
        <v/>
      </c>
      <c r="D95" s="5" t="str">
        <f>IF(ISNA(VLOOKUP($A95,Table1[],3,FALSE)),"",VLOOKUP($A95,Table1[],3,FALSE))</f>
        <v/>
      </c>
      <c r="E95" s="5" t="str">
        <f>IF(ISNA(VLOOKUP($A95,Table1[],2,FALSE)),"",VLOOKUP($A95,Table1[],4,FALSE))</f>
        <v/>
      </c>
    </row>
    <row r="96" spans="1:5" ht="20" customHeight="1" x14ac:dyDescent="0.35">
      <c r="A96" s="5"/>
      <c r="B96" s="6" t="str">
        <f>IF(C96&lt;&gt;"",VLOOKUP(C96,Config!A98:B101,2,FALSE),"")</f>
        <v/>
      </c>
      <c r="C96" s="5" t="str">
        <f>IF(ISNA(VLOOKUP($A96,Table1[],2,FALSE)),"",VLOOKUP($A96,Table1[],2,FALSE))</f>
        <v/>
      </c>
      <c r="D96" s="5" t="str">
        <f>IF(ISNA(VLOOKUP($A96,Table1[],3,FALSE)),"",VLOOKUP($A96,Table1[],3,FALSE))</f>
        <v/>
      </c>
      <c r="E96" s="5" t="str">
        <f>IF(ISNA(VLOOKUP($A96,Table1[],2,FALSE)),"",VLOOKUP($A96,Table1[],4,FALSE))</f>
        <v/>
      </c>
    </row>
    <row r="97" spans="1:5" ht="20" customHeight="1" x14ac:dyDescent="0.35">
      <c r="A97" s="5"/>
      <c r="B97" s="6" t="str">
        <f>IF(C97&lt;&gt;"",VLOOKUP(C97,Config!A99:B102,2,FALSE),"")</f>
        <v/>
      </c>
      <c r="C97" s="5" t="str">
        <f>IF(ISNA(VLOOKUP($A97,Table1[],2,FALSE)),"",VLOOKUP($A97,Table1[],2,FALSE))</f>
        <v/>
      </c>
      <c r="D97" s="5" t="str">
        <f>IF(ISNA(VLOOKUP($A97,Table1[],3,FALSE)),"",VLOOKUP($A97,Table1[],3,FALSE))</f>
        <v/>
      </c>
      <c r="E97" s="5" t="str">
        <f>IF(ISNA(VLOOKUP($A97,Table1[],2,FALSE)),"",VLOOKUP($A97,Table1[],4,FALSE))</f>
        <v/>
      </c>
    </row>
    <row r="98" spans="1:5" ht="20" customHeight="1" x14ac:dyDescent="0.35">
      <c r="A98" s="5"/>
      <c r="B98" s="6" t="str">
        <f>IF(C98&lt;&gt;"",VLOOKUP(C98,Config!A100:B103,2,FALSE),"")</f>
        <v/>
      </c>
      <c r="C98" s="5" t="str">
        <f>IF(ISNA(VLOOKUP($A98,Table1[],2,FALSE)),"",VLOOKUP($A98,Table1[],2,FALSE))</f>
        <v/>
      </c>
      <c r="D98" s="5" t="str">
        <f>IF(ISNA(VLOOKUP($A98,Table1[],3,FALSE)),"",VLOOKUP($A98,Table1[],3,FALSE))</f>
        <v/>
      </c>
      <c r="E98" s="5" t="str">
        <f>IF(ISNA(VLOOKUP($A98,Table1[],2,FALSE)),"",VLOOKUP($A98,Table1[],4,FALSE))</f>
        <v/>
      </c>
    </row>
    <row r="99" spans="1:5" ht="20" customHeight="1" x14ac:dyDescent="0.35">
      <c r="A99" s="5"/>
      <c r="B99" s="6" t="str">
        <f>IF(C99&lt;&gt;"",VLOOKUP(C99,Config!A101:B104,2,FALSE),"")</f>
        <v/>
      </c>
      <c r="C99" s="5" t="str">
        <f>IF(ISNA(VLOOKUP($A99,Table1[],2,FALSE)),"",VLOOKUP($A99,Table1[],2,FALSE))</f>
        <v/>
      </c>
      <c r="D99" s="5" t="str">
        <f>IF(ISNA(VLOOKUP($A99,Table1[],3,FALSE)),"",VLOOKUP($A99,Table1[],3,FALSE))</f>
        <v/>
      </c>
      <c r="E99" s="5" t="str">
        <f>IF(ISNA(VLOOKUP($A99,Table1[],2,FALSE)),"",VLOOKUP($A99,Table1[],4,FALSE))</f>
        <v/>
      </c>
    </row>
    <row r="100" spans="1:5" ht="20" customHeight="1" x14ac:dyDescent="0.35">
      <c r="A100" s="5"/>
      <c r="B100" s="6" t="str">
        <f>IF(C100&lt;&gt;"",VLOOKUP(C100,Config!A102:B105,2,FALSE),"")</f>
        <v/>
      </c>
      <c r="C100" s="5" t="str">
        <f>IF(ISNA(VLOOKUP($A100,Table1[],2,FALSE)),"",VLOOKUP($A100,Table1[],2,FALSE))</f>
        <v/>
      </c>
      <c r="D100" s="5" t="str">
        <f>IF(ISNA(VLOOKUP($A100,Table1[],3,FALSE)),"",VLOOKUP($A100,Table1[],3,FALSE))</f>
        <v/>
      </c>
      <c r="E100" s="5" t="str">
        <f>IF(ISNA(VLOOKUP($A100,Table1[],2,FALSE)),"",VLOOKUP($A100,Table1[],4,FALSE))</f>
        <v/>
      </c>
    </row>
    <row r="101" spans="1:5" ht="20" customHeight="1" x14ac:dyDescent="0.35">
      <c r="A101" s="5"/>
      <c r="B101" s="6" t="str">
        <f>IF(C101&lt;&gt;"",VLOOKUP(C101,Config!A103:B106,2,FALSE),"")</f>
        <v/>
      </c>
      <c r="C101" s="5" t="str">
        <f>IF(ISNA(VLOOKUP($A101,Table1[],2,FALSE)),"",VLOOKUP($A101,Table1[],2,FALSE))</f>
        <v/>
      </c>
      <c r="D101" s="5" t="str">
        <f>IF(ISNA(VLOOKUP($A101,Table1[],3,FALSE)),"",VLOOKUP($A101,Table1[],3,FALSE))</f>
        <v/>
      </c>
      <c r="E101" s="5" t="str">
        <f>IF(ISNA(VLOOKUP($A101,Table1[],2,FALSE)),"",VLOOKUP($A101,Table1[],4,FALSE))</f>
        <v/>
      </c>
    </row>
    <row r="102" spans="1:5" ht="20" customHeight="1" x14ac:dyDescent="0.35">
      <c r="A102" s="5"/>
      <c r="B102" s="6" t="str">
        <f>IF(C102&lt;&gt;"",VLOOKUP(C102,Config!A104:B107,2,FALSE),"")</f>
        <v/>
      </c>
      <c r="C102" s="5" t="str">
        <f>IF(ISNA(VLOOKUP($A102,Table1[],2,FALSE)),"",VLOOKUP($A102,Table1[],2,FALSE))</f>
        <v/>
      </c>
      <c r="D102" s="5" t="str">
        <f>IF(ISNA(VLOOKUP($A102,Table1[],3,FALSE)),"",VLOOKUP($A102,Table1[],3,FALSE))</f>
        <v/>
      </c>
      <c r="E102" s="5" t="str">
        <f>IF(ISNA(VLOOKUP($A102,Table1[],2,FALSE)),"",VLOOKUP($A102,Table1[],4,FALSE))</f>
        <v/>
      </c>
    </row>
    <row r="103" spans="1:5" ht="20" customHeight="1" x14ac:dyDescent="0.35">
      <c r="A103" s="5"/>
      <c r="B103" s="6" t="str">
        <f>IF(C103&lt;&gt;"",VLOOKUP(C103,Config!A105:B108,2,FALSE),"")</f>
        <v/>
      </c>
      <c r="C103" s="5" t="str">
        <f>IF(ISNA(VLOOKUP($A103,Table1[],2,FALSE)),"",VLOOKUP($A103,Table1[],2,FALSE))</f>
        <v/>
      </c>
      <c r="D103" s="5" t="str">
        <f>IF(ISNA(VLOOKUP($A103,Table1[],3,FALSE)),"",VLOOKUP($A103,Table1[],3,FALSE))</f>
        <v/>
      </c>
      <c r="E103" s="5" t="str">
        <f>IF(ISNA(VLOOKUP($A103,Table1[],2,FALSE)),"",VLOOKUP($A103,Table1[],4,FALSE))</f>
        <v/>
      </c>
    </row>
    <row r="104" spans="1:5" ht="20" customHeight="1" x14ac:dyDescent="0.35">
      <c r="A104" s="5"/>
      <c r="B104" s="6" t="str">
        <f>IF(C104&lt;&gt;"",VLOOKUP(C104,Config!A106:B109,2,FALSE),"")</f>
        <v/>
      </c>
      <c r="C104" s="5" t="str">
        <f>IF(ISNA(VLOOKUP($A104,Table1[],2,FALSE)),"",VLOOKUP($A104,Table1[],2,FALSE))</f>
        <v/>
      </c>
      <c r="D104" s="5" t="str">
        <f>IF(ISNA(VLOOKUP($A104,Table1[],3,FALSE)),"",VLOOKUP($A104,Table1[],3,FALSE))</f>
        <v/>
      </c>
      <c r="E104" s="5" t="str">
        <f>IF(ISNA(VLOOKUP($A104,Table1[],2,FALSE)),"",VLOOKUP($A104,Table1[],4,FALSE))</f>
        <v/>
      </c>
    </row>
    <row r="105" spans="1:5" ht="20" customHeight="1" x14ac:dyDescent="0.35">
      <c r="A105" s="5"/>
      <c r="B105" s="6" t="str">
        <f>IF(C105&lt;&gt;"",VLOOKUP(C105,Config!A107:B110,2,FALSE),"")</f>
        <v/>
      </c>
      <c r="C105" s="5" t="str">
        <f>IF(ISNA(VLOOKUP($A105,Table1[],2,FALSE)),"",VLOOKUP($A105,Table1[],2,FALSE))</f>
        <v/>
      </c>
      <c r="D105" s="5" t="str">
        <f>IF(ISNA(VLOOKUP($A105,Table1[],3,FALSE)),"",VLOOKUP($A105,Table1[],3,FALSE))</f>
        <v/>
      </c>
      <c r="E105" s="5" t="str">
        <f>IF(ISNA(VLOOKUP($A105,Table1[],2,FALSE)),"",VLOOKUP($A105,Table1[],4,FALSE))</f>
        <v/>
      </c>
    </row>
    <row r="106" spans="1:5" ht="20" customHeight="1" x14ac:dyDescent="0.35">
      <c r="A106" s="5"/>
      <c r="B106" s="6" t="str">
        <f>IF(C106&lt;&gt;"",VLOOKUP(C106,Config!A108:B111,2,FALSE),"")</f>
        <v/>
      </c>
      <c r="C106" s="5" t="str">
        <f>IF(ISNA(VLOOKUP($A106,Table1[],2,FALSE)),"",VLOOKUP($A106,Table1[],2,FALSE))</f>
        <v/>
      </c>
      <c r="D106" s="5" t="str">
        <f>IF(ISNA(VLOOKUP($A106,Table1[],3,FALSE)),"",VLOOKUP($A106,Table1[],3,FALSE))</f>
        <v/>
      </c>
      <c r="E106" s="5" t="str">
        <f>IF(ISNA(VLOOKUP($A106,Table1[],2,FALSE)),"",VLOOKUP($A106,Table1[],4,FALSE))</f>
        <v/>
      </c>
    </row>
    <row r="107" spans="1:5" ht="20" customHeight="1" x14ac:dyDescent="0.35">
      <c r="A107" s="5"/>
      <c r="B107" s="6" t="str">
        <f>IF(C107&lt;&gt;"",VLOOKUP(C107,Config!A109:B112,2,FALSE),"")</f>
        <v/>
      </c>
      <c r="C107" s="5" t="str">
        <f>IF(ISNA(VLOOKUP($A107,Table1[],2,FALSE)),"",VLOOKUP($A107,Table1[],2,FALSE))</f>
        <v/>
      </c>
      <c r="D107" s="5" t="str">
        <f>IF(ISNA(VLOOKUP($A107,Table1[],3,FALSE)),"",VLOOKUP($A107,Table1[],3,FALSE))</f>
        <v/>
      </c>
      <c r="E107" s="5" t="str">
        <f>IF(ISNA(VLOOKUP($A107,Table1[],2,FALSE)),"",VLOOKUP($A107,Table1[],4,FALSE))</f>
        <v/>
      </c>
    </row>
    <row r="108" spans="1:5" ht="20" customHeight="1" x14ac:dyDescent="0.35">
      <c r="A108" s="5"/>
      <c r="B108" s="6" t="str">
        <f>IF(C108&lt;&gt;"",VLOOKUP(C108,Config!A110:B113,2,FALSE),"")</f>
        <v/>
      </c>
      <c r="C108" s="5" t="str">
        <f>IF(ISNA(VLOOKUP($A108,Table1[],2,FALSE)),"",VLOOKUP($A108,Table1[],2,FALSE))</f>
        <v/>
      </c>
      <c r="D108" s="5" t="str">
        <f>IF(ISNA(VLOOKUP($A108,Table1[],3,FALSE)),"",VLOOKUP($A108,Table1[],3,FALSE))</f>
        <v/>
      </c>
      <c r="E108" s="5" t="str">
        <f>IF(ISNA(VLOOKUP($A108,Table1[],2,FALSE)),"",VLOOKUP($A108,Table1[],4,FALSE))</f>
        <v/>
      </c>
    </row>
    <row r="109" spans="1:5" ht="20" customHeight="1" x14ac:dyDescent="0.35">
      <c r="A109" s="5"/>
      <c r="B109" s="6" t="str">
        <f>IF(C109&lt;&gt;"",VLOOKUP(C109,Config!A111:B114,2,FALSE),"")</f>
        <v/>
      </c>
      <c r="C109" s="5" t="str">
        <f>IF(ISNA(VLOOKUP($A109,Table1[],2,FALSE)),"",VLOOKUP($A109,Table1[],2,FALSE))</f>
        <v/>
      </c>
      <c r="D109" s="5" t="str">
        <f>IF(ISNA(VLOOKUP($A109,Table1[],3,FALSE)),"",VLOOKUP($A109,Table1[],3,FALSE))</f>
        <v/>
      </c>
      <c r="E109" s="5" t="str">
        <f>IF(ISNA(VLOOKUP($A109,Table1[],2,FALSE)),"",VLOOKUP($A109,Table1[],4,FALSE))</f>
        <v/>
      </c>
    </row>
    <row r="110" spans="1:5" ht="20" customHeight="1" x14ac:dyDescent="0.35">
      <c r="A110" s="5"/>
      <c r="B110" s="6" t="str">
        <f>IF(C110&lt;&gt;"",VLOOKUP(C110,Config!A112:B115,2,FALSE),"")</f>
        <v/>
      </c>
      <c r="C110" s="5" t="str">
        <f>IF(ISNA(VLOOKUP($A110,Table1[],2,FALSE)),"",VLOOKUP($A110,Table1[],2,FALSE))</f>
        <v/>
      </c>
      <c r="D110" s="5" t="str">
        <f>IF(ISNA(VLOOKUP($A110,Table1[],3,FALSE)),"",VLOOKUP($A110,Table1[],3,FALSE))</f>
        <v/>
      </c>
      <c r="E110" s="5" t="str">
        <f>IF(ISNA(VLOOKUP($A110,Table1[],2,FALSE)),"",VLOOKUP($A110,Table1[],4,FALSE))</f>
        <v/>
      </c>
    </row>
    <row r="111" spans="1:5" ht="20" customHeight="1" x14ac:dyDescent="0.35">
      <c r="A111" s="5"/>
      <c r="B111" s="6" t="str">
        <f>IF(C111&lt;&gt;"",VLOOKUP(C111,Config!A113:B116,2,FALSE),"")</f>
        <v/>
      </c>
      <c r="C111" s="5" t="str">
        <f>IF(ISNA(VLOOKUP($A111,Table1[],2,FALSE)),"",VLOOKUP($A111,Table1[],2,FALSE))</f>
        <v/>
      </c>
      <c r="D111" s="5" t="str">
        <f>IF(ISNA(VLOOKUP($A111,Table1[],3,FALSE)),"",VLOOKUP($A111,Table1[],3,FALSE))</f>
        <v/>
      </c>
      <c r="E111" s="5" t="str">
        <f>IF(ISNA(VLOOKUP($A111,Table1[],2,FALSE)),"",VLOOKUP($A111,Table1[],4,FALSE))</f>
        <v/>
      </c>
    </row>
    <row r="112" spans="1:5" ht="20" customHeight="1" x14ac:dyDescent="0.35">
      <c r="A112" s="5"/>
      <c r="B112" s="6" t="str">
        <f>IF(C112&lt;&gt;"",VLOOKUP(C112,Config!A114:B117,2,FALSE),"")</f>
        <v/>
      </c>
      <c r="C112" s="5" t="str">
        <f>IF(ISNA(VLOOKUP($A112,Table1[],2,FALSE)),"",VLOOKUP($A112,Table1[],2,FALSE))</f>
        <v/>
      </c>
      <c r="D112" s="5" t="str">
        <f>IF(ISNA(VLOOKUP($A112,Table1[],3,FALSE)),"",VLOOKUP($A112,Table1[],3,FALSE))</f>
        <v/>
      </c>
      <c r="E112" s="5" t="str">
        <f>IF(ISNA(VLOOKUP($A112,Table1[],2,FALSE)),"",VLOOKUP($A112,Table1[],4,FALSE))</f>
        <v/>
      </c>
    </row>
    <row r="113" spans="1:5" ht="20" customHeight="1" x14ac:dyDescent="0.35">
      <c r="A113" s="5"/>
      <c r="B113" s="6" t="str">
        <f>IF(C113&lt;&gt;"",VLOOKUP(C113,Config!A115:B118,2,FALSE),"")</f>
        <v/>
      </c>
      <c r="C113" s="5" t="str">
        <f>IF(ISNA(VLOOKUP($A113,Table1[],2,FALSE)),"",VLOOKUP($A113,Table1[],2,FALSE))</f>
        <v/>
      </c>
      <c r="D113" s="5" t="str">
        <f>IF(ISNA(VLOOKUP($A113,Table1[],3,FALSE)),"",VLOOKUP($A113,Table1[],3,FALSE))</f>
        <v/>
      </c>
      <c r="E113" s="5" t="str">
        <f>IF(ISNA(VLOOKUP($A113,Table1[],2,FALSE)),"",VLOOKUP($A113,Table1[],4,FALSE))</f>
        <v/>
      </c>
    </row>
    <row r="114" spans="1:5" ht="20" customHeight="1" x14ac:dyDescent="0.35">
      <c r="A114" s="5"/>
      <c r="B114" s="6" t="str">
        <f>IF(C114&lt;&gt;"",VLOOKUP(C114,Config!A116:B119,2,FALSE),"")</f>
        <v/>
      </c>
      <c r="C114" s="5" t="str">
        <f>IF(ISNA(VLOOKUP($A114,Table1[],2,FALSE)),"",VLOOKUP($A114,Table1[],2,FALSE))</f>
        <v/>
      </c>
      <c r="D114" s="5" t="str">
        <f>IF(ISNA(VLOOKUP($A114,Table1[],3,FALSE)),"",VLOOKUP($A114,Table1[],3,FALSE))</f>
        <v/>
      </c>
      <c r="E114" s="5" t="str">
        <f>IF(ISNA(VLOOKUP($A114,Table1[],2,FALSE)),"",VLOOKUP($A114,Table1[],4,FALSE))</f>
        <v/>
      </c>
    </row>
    <row r="115" spans="1:5" ht="20" customHeight="1" x14ac:dyDescent="0.35">
      <c r="A115" s="5"/>
      <c r="B115" s="6" t="str">
        <f>IF(C115&lt;&gt;"",VLOOKUP(C115,Config!A117:B120,2,FALSE),"")</f>
        <v/>
      </c>
      <c r="C115" s="5" t="str">
        <f>IF(ISNA(VLOOKUP($A115,Table1[],2,FALSE)),"",VLOOKUP($A115,Table1[],2,FALSE))</f>
        <v/>
      </c>
      <c r="D115" s="5" t="str">
        <f>IF(ISNA(VLOOKUP($A115,Table1[],3,FALSE)),"",VLOOKUP($A115,Table1[],3,FALSE))</f>
        <v/>
      </c>
      <c r="E115" s="5" t="str">
        <f>IF(ISNA(VLOOKUP($A115,Table1[],2,FALSE)),"",VLOOKUP($A115,Table1[],4,FALSE))</f>
        <v/>
      </c>
    </row>
    <row r="116" spans="1:5" ht="20" customHeight="1" x14ac:dyDescent="0.35">
      <c r="A116" s="5"/>
      <c r="B116" s="6" t="str">
        <f>IF(C116&lt;&gt;"",VLOOKUP(C116,Config!A118:B121,2,FALSE),"")</f>
        <v/>
      </c>
      <c r="C116" s="5" t="str">
        <f>IF(ISNA(VLOOKUP($A116,Table1[],2,FALSE)),"",VLOOKUP($A116,Table1[],2,FALSE))</f>
        <v/>
      </c>
      <c r="D116" s="5" t="str">
        <f>IF(ISNA(VLOOKUP($A116,Table1[],3,FALSE)),"",VLOOKUP($A116,Table1[],3,FALSE))</f>
        <v/>
      </c>
      <c r="E116" s="5" t="str">
        <f>IF(ISNA(VLOOKUP($A116,Table1[],2,FALSE)),"",VLOOKUP($A116,Table1[],4,FALSE))</f>
        <v/>
      </c>
    </row>
    <row r="117" spans="1:5" ht="20" customHeight="1" x14ac:dyDescent="0.35">
      <c r="A117" s="5"/>
      <c r="B117" s="6" t="str">
        <f>IF(C117&lt;&gt;"",VLOOKUP(C117,Config!A119:B122,2,FALSE),"")</f>
        <v/>
      </c>
      <c r="C117" s="5" t="str">
        <f>IF(ISNA(VLOOKUP($A117,Table1[],2,FALSE)),"",VLOOKUP($A117,Table1[],2,FALSE))</f>
        <v/>
      </c>
      <c r="D117" s="5" t="str">
        <f>IF(ISNA(VLOOKUP($A117,Table1[],3,FALSE)),"",VLOOKUP($A117,Table1[],3,FALSE))</f>
        <v/>
      </c>
      <c r="E117" s="5" t="str">
        <f>IF(ISNA(VLOOKUP($A117,Table1[],2,FALSE)),"",VLOOKUP($A117,Table1[],4,FALSE))</f>
        <v/>
      </c>
    </row>
    <row r="118" spans="1:5" ht="20" customHeight="1" x14ac:dyDescent="0.35">
      <c r="A118" s="5"/>
      <c r="B118" s="6" t="str">
        <f>IF(C118&lt;&gt;"",VLOOKUP(C118,Config!A120:B123,2,FALSE),"")</f>
        <v/>
      </c>
      <c r="C118" s="5" t="str">
        <f>IF(ISNA(VLOOKUP($A118,Table1[],2,FALSE)),"",VLOOKUP($A118,Table1[],2,FALSE))</f>
        <v/>
      </c>
      <c r="D118" s="5" t="str">
        <f>IF(ISNA(VLOOKUP($A118,Table1[],3,FALSE)),"",VLOOKUP($A118,Table1[],3,FALSE))</f>
        <v/>
      </c>
      <c r="E118" s="5" t="str">
        <f>IF(ISNA(VLOOKUP($A118,Table1[],2,FALSE)),"",VLOOKUP($A118,Table1[],4,FALSE))</f>
        <v/>
      </c>
    </row>
    <row r="119" spans="1:5" ht="20" customHeight="1" x14ac:dyDescent="0.35">
      <c r="A119" s="5"/>
      <c r="B119" s="6" t="str">
        <f>IF(C119&lt;&gt;"",VLOOKUP(C119,Config!A121:B124,2,FALSE),"")</f>
        <v/>
      </c>
      <c r="C119" s="5" t="str">
        <f>IF(ISNA(VLOOKUP($A119,Table1[],2,FALSE)),"",VLOOKUP($A119,Table1[],2,FALSE))</f>
        <v/>
      </c>
      <c r="D119" s="5" t="str">
        <f>IF(ISNA(VLOOKUP($A119,Table1[],3,FALSE)),"",VLOOKUP($A119,Table1[],3,FALSE))</f>
        <v/>
      </c>
      <c r="E119" s="5" t="str">
        <f>IF(ISNA(VLOOKUP($A119,Table1[],2,FALSE)),"",VLOOKUP($A119,Table1[],4,FALSE))</f>
        <v/>
      </c>
    </row>
    <row r="120" spans="1:5" ht="20" customHeight="1" x14ac:dyDescent="0.35">
      <c r="A120" s="5"/>
      <c r="B120" s="6" t="str">
        <f>IF(C120&lt;&gt;"",VLOOKUP(C120,Config!A122:B125,2,FALSE),"")</f>
        <v/>
      </c>
      <c r="C120" s="5" t="str">
        <f>IF(ISNA(VLOOKUP($A120,Table1[],2,FALSE)),"",VLOOKUP($A120,Table1[],2,FALSE))</f>
        <v/>
      </c>
      <c r="D120" s="5" t="str">
        <f>IF(ISNA(VLOOKUP($A120,Table1[],3,FALSE)),"",VLOOKUP($A120,Table1[],3,FALSE))</f>
        <v/>
      </c>
      <c r="E120" s="5" t="str">
        <f>IF(ISNA(VLOOKUP($A120,Table1[],2,FALSE)),"",VLOOKUP($A120,Table1[],4,FALSE))</f>
        <v/>
      </c>
    </row>
    <row r="121" spans="1:5" ht="20" customHeight="1" x14ac:dyDescent="0.35">
      <c r="A121" s="5"/>
      <c r="B121" s="6" t="str">
        <f>IF(C121&lt;&gt;"",VLOOKUP(C121,Config!A123:B126,2,FALSE),"")</f>
        <v/>
      </c>
      <c r="C121" s="5" t="str">
        <f>IF(ISNA(VLOOKUP($A121,Table1[],2,FALSE)),"",VLOOKUP($A121,Table1[],2,FALSE))</f>
        <v/>
      </c>
      <c r="D121" s="5" t="str">
        <f>IF(ISNA(VLOOKUP($A121,Table1[],3,FALSE)),"",VLOOKUP($A121,Table1[],3,FALSE))</f>
        <v/>
      </c>
      <c r="E121" s="5" t="str">
        <f>IF(ISNA(VLOOKUP($A121,Table1[],2,FALSE)),"",VLOOKUP($A121,Table1[],4,FALSE))</f>
        <v/>
      </c>
    </row>
    <row r="122" spans="1:5" ht="20" customHeight="1" x14ac:dyDescent="0.35">
      <c r="A122" s="5"/>
      <c r="B122" s="6" t="str">
        <f>IF(C122&lt;&gt;"",VLOOKUP(C122,Config!A124:B127,2,FALSE),"")</f>
        <v/>
      </c>
      <c r="C122" s="5" t="str">
        <f>IF(ISNA(VLOOKUP($A122,Table1[],2,FALSE)),"",VLOOKUP($A122,Table1[],2,FALSE))</f>
        <v/>
      </c>
      <c r="D122" s="5" t="str">
        <f>IF(ISNA(VLOOKUP($A122,Table1[],3,FALSE)),"",VLOOKUP($A122,Table1[],3,FALSE))</f>
        <v/>
      </c>
      <c r="E122" s="5" t="str">
        <f>IF(ISNA(VLOOKUP($A122,Table1[],2,FALSE)),"",VLOOKUP($A122,Table1[],4,FALSE))</f>
        <v/>
      </c>
    </row>
    <row r="123" spans="1:5" ht="20" customHeight="1" x14ac:dyDescent="0.35">
      <c r="A123" s="5"/>
      <c r="B123" s="6" t="str">
        <f>IF(C123&lt;&gt;"",VLOOKUP(C123,Config!A125:B128,2,FALSE),"")</f>
        <v/>
      </c>
      <c r="C123" s="5" t="str">
        <f>IF(ISNA(VLOOKUP($A123,Table1[],2,FALSE)),"",VLOOKUP($A123,Table1[],2,FALSE))</f>
        <v/>
      </c>
      <c r="D123" s="5" t="str">
        <f>IF(ISNA(VLOOKUP($A123,Table1[],3,FALSE)),"",VLOOKUP($A123,Table1[],3,FALSE))</f>
        <v/>
      </c>
      <c r="E123" s="5" t="str">
        <f>IF(ISNA(VLOOKUP($A123,Table1[],2,FALSE)),"",VLOOKUP($A123,Table1[],4,FALSE))</f>
        <v/>
      </c>
    </row>
    <row r="124" spans="1:5" ht="20" customHeight="1" x14ac:dyDescent="0.35">
      <c r="A124" s="5"/>
      <c r="B124" s="6" t="str">
        <f>IF(C124&lt;&gt;"",VLOOKUP(C124,Config!A126:B129,2,FALSE),"")</f>
        <v/>
      </c>
      <c r="C124" s="5" t="str">
        <f>IF(ISNA(VLOOKUP($A124,Table1[],2,FALSE)),"",VLOOKUP($A124,Table1[],2,FALSE))</f>
        <v/>
      </c>
      <c r="D124" s="5" t="str">
        <f>IF(ISNA(VLOOKUP($A124,Table1[],3,FALSE)),"",VLOOKUP($A124,Table1[],3,FALSE))</f>
        <v/>
      </c>
      <c r="E124" s="5" t="str">
        <f>IF(ISNA(VLOOKUP($A124,Table1[],2,FALSE)),"",VLOOKUP($A124,Table1[],4,FALSE))</f>
        <v/>
      </c>
    </row>
    <row r="125" spans="1:5" ht="20" customHeight="1" x14ac:dyDescent="0.35">
      <c r="A125" s="5"/>
      <c r="B125" s="6" t="str">
        <f>IF(C125&lt;&gt;"",VLOOKUP(C125,Config!A127:B130,2,FALSE),"")</f>
        <v/>
      </c>
      <c r="C125" s="5" t="str">
        <f>IF(ISNA(VLOOKUP($A125,Table1[],2,FALSE)),"",VLOOKUP($A125,Table1[],2,FALSE))</f>
        <v/>
      </c>
      <c r="D125" s="5" t="str">
        <f>IF(ISNA(VLOOKUP($A125,Table1[],3,FALSE)),"",VLOOKUP($A125,Table1[],3,FALSE))</f>
        <v/>
      </c>
      <c r="E125" s="5" t="str">
        <f>IF(ISNA(VLOOKUP($A125,Table1[],2,FALSE)),"",VLOOKUP($A125,Table1[],4,FALSE))</f>
        <v/>
      </c>
    </row>
    <row r="126" spans="1:5" ht="20" customHeight="1" x14ac:dyDescent="0.35">
      <c r="A126" s="5"/>
      <c r="B126" s="6" t="str">
        <f>IF(C126&lt;&gt;"",VLOOKUP(C126,Config!A128:B131,2,FALSE),"")</f>
        <v/>
      </c>
      <c r="C126" s="5" t="str">
        <f>IF(ISNA(VLOOKUP($A126,Table1[],2,FALSE)),"",VLOOKUP($A126,Table1[],2,FALSE))</f>
        <v/>
      </c>
      <c r="D126" s="5" t="str">
        <f>IF(ISNA(VLOOKUP($A126,Table1[],3,FALSE)),"",VLOOKUP($A126,Table1[],3,FALSE))</f>
        <v/>
      </c>
      <c r="E126" s="5" t="str">
        <f>IF(ISNA(VLOOKUP($A126,Table1[],2,FALSE)),"",VLOOKUP($A126,Table1[],4,FALSE))</f>
        <v/>
      </c>
    </row>
    <row r="127" spans="1:5" ht="20" customHeight="1" x14ac:dyDescent="0.35">
      <c r="A127" s="5"/>
      <c r="B127" s="6" t="str">
        <f>IF(C127&lt;&gt;"",VLOOKUP(C127,Config!A129:B132,2,FALSE),"")</f>
        <v/>
      </c>
      <c r="C127" s="5" t="str">
        <f>IF(ISNA(VLOOKUP($A127,Table1[],2,FALSE)),"",VLOOKUP($A127,Table1[],2,FALSE))</f>
        <v/>
      </c>
      <c r="D127" s="5" t="str">
        <f>IF(ISNA(VLOOKUP($A127,Table1[],3,FALSE)),"",VLOOKUP($A127,Table1[],3,FALSE))</f>
        <v/>
      </c>
      <c r="E127" s="5" t="str">
        <f>IF(ISNA(VLOOKUP($A127,Table1[],2,FALSE)),"",VLOOKUP($A127,Table1[],4,FALSE))</f>
        <v/>
      </c>
    </row>
    <row r="128" spans="1:5" ht="20" customHeight="1" x14ac:dyDescent="0.35">
      <c r="A128" s="5"/>
      <c r="B128" s="6" t="str">
        <f>IF(C128&lt;&gt;"",VLOOKUP(C128,Config!A130:B133,2,FALSE),"")</f>
        <v/>
      </c>
      <c r="C128" s="5" t="str">
        <f>IF(ISNA(VLOOKUP($A128,Table1[],2,FALSE)),"",VLOOKUP($A128,Table1[],2,FALSE))</f>
        <v/>
      </c>
      <c r="D128" s="5" t="str">
        <f>IF(ISNA(VLOOKUP($A128,Table1[],3,FALSE)),"",VLOOKUP($A128,Table1[],3,FALSE))</f>
        <v/>
      </c>
      <c r="E128" s="5" t="str">
        <f>IF(ISNA(VLOOKUP($A128,Table1[],2,FALSE)),"",VLOOKUP($A128,Table1[],4,FALSE))</f>
        <v/>
      </c>
    </row>
    <row r="129" spans="1:5" ht="20" customHeight="1" x14ac:dyDescent="0.35">
      <c r="A129" s="5"/>
      <c r="B129" s="6" t="str">
        <f>IF(C129&lt;&gt;"",VLOOKUP(C129,Config!A131:B134,2,FALSE),"")</f>
        <v/>
      </c>
      <c r="C129" s="5" t="str">
        <f>IF(ISNA(VLOOKUP($A129,Table1[],2,FALSE)),"",VLOOKUP($A129,Table1[],2,FALSE))</f>
        <v/>
      </c>
      <c r="D129" s="5" t="str">
        <f>IF(ISNA(VLOOKUP($A129,Table1[],3,FALSE)),"",VLOOKUP($A129,Table1[],3,FALSE))</f>
        <v/>
      </c>
      <c r="E129" s="5" t="str">
        <f>IF(ISNA(VLOOKUP($A129,Table1[],2,FALSE)),"",VLOOKUP($A129,Table1[],4,FALSE))</f>
        <v/>
      </c>
    </row>
    <row r="130" spans="1:5" ht="20" customHeight="1" x14ac:dyDescent="0.35">
      <c r="A130" s="5"/>
      <c r="B130" s="6" t="str">
        <f>IF(C130&lt;&gt;"",VLOOKUP(C130,Config!A132:B135,2,FALSE),"")</f>
        <v/>
      </c>
      <c r="C130" s="5" t="str">
        <f>IF(ISNA(VLOOKUP($A130,Table1[],2,FALSE)),"",VLOOKUP($A130,Table1[],2,FALSE))</f>
        <v/>
      </c>
      <c r="D130" s="5" t="str">
        <f>IF(ISNA(VLOOKUP($A130,Table1[],3,FALSE)),"",VLOOKUP($A130,Table1[],3,FALSE))</f>
        <v/>
      </c>
      <c r="E130" s="5" t="str">
        <f>IF(ISNA(VLOOKUP($A130,Table1[],2,FALSE)),"",VLOOKUP($A130,Table1[],4,FALSE))</f>
        <v/>
      </c>
    </row>
    <row r="131" spans="1:5" ht="20" customHeight="1" x14ac:dyDescent="0.35">
      <c r="A131" s="5"/>
      <c r="B131" s="6" t="str">
        <f>IF(C131&lt;&gt;"",VLOOKUP(C131,Config!A133:B136,2,FALSE),"")</f>
        <v/>
      </c>
      <c r="C131" s="5" t="str">
        <f>IF(ISNA(VLOOKUP($A131,Table1[],2,FALSE)),"",VLOOKUP($A131,Table1[],2,FALSE))</f>
        <v/>
      </c>
      <c r="D131" s="5" t="str">
        <f>IF(ISNA(VLOOKUP($A131,Table1[],3,FALSE)),"",VLOOKUP($A131,Table1[],3,FALSE))</f>
        <v/>
      </c>
      <c r="E131" s="5" t="str">
        <f>IF(ISNA(VLOOKUP($A131,Table1[],2,FALSE)),"",VLOOKUP($A131,Table1[],4,FALSE))</f>
        <v/>
      </c>
    </row>
    <row r="132" spans="1:5" ht="20" customHeight="1" x14ac:dyDescent="0.35">
      <c r="A132" s="5"/>
      <c r="B132" s="6" t="str">
        <f>IF(C132&lt;&gt;"",VLOOKUP(C132,Config!A134:B137,2,FALSE),"")</f>
        <v/>
      </c>
      <c r="C132" s="5" t="str">
        <f>IF(ISNA(VLOOKUP($A132,Table1[],2,FALSE)),"",VLOOKUP($A132,Table1[],2,FALSE))</f>
        <v/>
      </c>
      <c r="D132" s="5" t="str">
        <f>IF(ISNA(VLOOKUP($A132,Table1[],3,FALSE)),"",VLOOKUP($A132,Table1[],3,FALSE))</f>
        <v/>
      </c>
      <c r="E132" s="5" t="str">
        <f>IF(ISNA(VLOOKUP($A132,Table1[],2,FALSE)),"",VLOOKUP($A132,Table1[],4,FALSE))</f>
        <v/>
      </c>
    </row>
    <row r="133" spans="1:5" ht="20" customHeight="1" x14ac:dyDescent="0.35">
      <c r="A133" s="5"/>
      <c r="B133" s="6" t="str">
        <f>IF(C133&lt;&gt;"",VLOOKUP(C133,Config!A135:B138,2,FALSE),"")</f>
        <v/>
      </c>
      <c r="C133" s="5" t="str">
        <f>IF(ISNA(VLOOKUP($A133,Table1[],2,FALSE)),"",VLOOKUP($A133,Table1[],2,FALSE))</f>
        <v/>
      </c>
      <c r="D133" s="5" t="str">
        <f>IF(ISNA(VLOOKUP($A133,Table1[],3,FALSE)),"",VLOOKUP($A133,Table1[],3,FALSE))</f>
        <v/>
      </c>
      <c r="E133" s="5" t="str">
        <f>IF(ISNA(VLOOKUP($A133,Table1[],2,FALSE)),"",VLOOKUP($A133,Table1[],4,FALSE))</f>
        <v/>
      </c>
    </row>
    <row r="134" spans="1:5" ht="20" customHeight="1" x14ac:dyDescent="0.35">
      <c r="A134" s="5"/>
      <c r="B134" s="6" t="str">
        <f>IF(C134&lt;&gt;"",VLOOKUP(C134,Config!A136:B139,2,FALSE),"")</f>
        <v/>
      </c>
      <c r="C134" s="5" t="str">
        <f>IF(ISNA(VLOOKUP($A134,Table1[],2,FALSE)),"",VLOOKUP($A134,Table1[],2,FALSE))</f>
        <v/>
      </c>
      <c r="D134" s="5" t="str">
        <f>IF(ISNA(VLOOKUP($A134,Table1[],3,FALSE)),"",VLOOKUP($A134,Table1[],3,FALSE))</f>
        <v/>
      </c>
      <c r="E134" s="5" t="str">
        <f>IF(ISNA(VLOOKUP($A134,Table1[],2,FALSE)),"",VLOOKUP($A134,Table1[],4,FALSE))</f>
        <v/>
      </c>
    </row>
    <row r="135" spans="1:5" ht="20" customHeight="1" x14ac:dyDescent="0.35">
      <c r="A135" s="5"/>
      <c r="B135" s="6" t="str">
        <f>IF(C135&lt;&gt;"",VLOOKUP(C135,Config!A137:B140,2,FALSE),"")</f>
        <v/>
      </c>
      <c r="C135" s="5" t="str">
        <f>IF(ISNA(VLOOKUP($A135,Table1[],2,FALSE)),"",VLOOKUP($A135,Table1[],2,FALSE))</f>
        <v/>
      </c>
      <c r="D135" s="5" t="str">
        <f>IF(ISNA(VLOOKUP($A135,Table1[],3,FALSE)),"",VLOOKUP($A135,Table1[],3,FALSE))</f>
        <v/>
      </c>
      <c r="E135" s="5" t="str">
        <f>IF(ISNA(VLOOKUP($A135,Table1[],2,FALSE)),"",VLOOKUP($A135,Table1[],4,FALSE))</f>
        <v/>
      </c>
    </row>
    <row r="136" spans="1:5" ht="20" customHeight="1" x14ac:dyDescent="0.35">
      <c r="A136" s="5"/>
      <c r="B136" s="6" t="str">
        <f>IF(C136&lt;&gt;"",VLOOKUP(C136,Config!A138:B141,2,FALSE),"")</f>
        <v/>
      </c>
      <c r="C136" s="5" t="str">
        <f>IF(ISNA(VLOOKUP($A136,Table1[],2,FALSE)),"",VLOOKUP($A136,Table1[],2,FALSE))</f>
        <v/>
      </c>
      <c r="D136" s="5" t="str">
        <f>IF(ISNA(VLOOKUP($A136,Table1[],3,FALSE)),"",VLOOKUP($A136,Table1[],3,FALSE))</f>
        <v/>
      </c>
      <c r="E136" s="5" t="str">
        <f>IF(ISNA(VLOOKUP($A136,Table1[],2,FALSE)),"",VLOOKUP($A136,Table1[],4,FALSE))</f>
        <v/>
      </c>
    </row>
    <row r="137" spans="1:5" ht="20" customHeight="1" x14ac:dyDescent="0.35">
      <c r="A137" s="5"/>
      <c r="B137" s="6" t="str">
        <f>IF(C137&lt;&gt;"",VLOOKUP(C137,Config!A139:B142,2,FALSE),"")</f>
        <v/>
      </c>
      <c r="C137" s="5" t="str">
        <f>IF(ISNA(VLOOKUP($A137,Table1[],2,FALSE)),"",VLOOKUP($A137,Table1[],2,FALSE))</f>
        <v/>
      </c>
      <c r="D137" s="5" t="str">
        <f>IF(ISNA(VLOOKUP($A137,Table1[],3,FALSE)),"",VLOOKUP($A137,Table1[],3,FALSE))</f>
        <v/>
      </c>
      <c r="E137" s="5" t="str">
        <f>IF(ISNA(VLOOKUP($A137,Table1[],2,FALSE)),"",VLOOKUP($A137,Table1[],4,FALSE))</f>
        <v/>
      </c>
    </row>
    <row r="138" spans="1:5" ht="20" customHeight="1" x14ac:dyDescent="0.35">
      <c r="A138" s="5"/>
      <c r="B138" s="6" t="str">
        <f>IF(C138&lt;&gt;"",VLOOKUP(C138,Config!A140:B143,2,FALSE),"")</f>
        <v/>
      </c>
      <c r="C138" s="5" t="str">
        <f>IF(ISNA(VLOOKUP($A138,Table1[],2,FALSE)),"",VLOOKUP($A138,Table1[],2,FALSE))</f>
        <v/>
      </c>
      <c r="D138" s="5" t="str">
        <f>IF(ISNA(VLOOKUP($A138,Table1[],3,FALSE)),"",VLOOKUP($A138,Table1[],3,FALSE))</f>
        <v/>
      </c>
      <c r="E138" s="5" t="str">
        <f>IF(ISNA(VLOOKUP($A138,Table1[],2,FALSE)),"",VLOOKUP($A138,Table1[],4,FALSE))</f>
        <v/>
      </c>
    </row>
    <row r="139" spans="1:5" ht="20" customHeight="1" x14ac:dyDescent="0.35">
      <c r="A139" s="5"/>
      <c r="B139" s="6" t="str">
        <f>IF(C139&lt;&gt;"",VLOOKUP(C139,Config!A141:B144,2,FALSE),"")</f>
        <v/>
      </c>
      <c r="C139" s="5" t="str">
        <f>IF(ISNA(VLOOKUP($A139,Table1[],2,FALSE)),"",VLOOKUP($A139,Table1[],2,FALSE))</f>
        <v/>
      </c>
      <c r="D139" s="5" t="str">
        <f>IF(ISNA(VLOOKUP($A139,Table1[],3,FALSE)),"",VLOOKUP($A139,Table1[],3,FALSE))</f>
        <v/>
      </c>
      <c r="E139" s="5" t="str">
        <f>IF(ISNA(VLOOKUP($A139,Table1[],2,FALSE)),"",VLOOKUP($A139,Table1[],4,FALSE))</f>
        <v/>
      </c>
    </row>
    <row r="140" spans="1:5" ht="20" customHeight="1" x14ac:dyDescent="0.35">
      <c r="A140" s="5"/>
      <c r="B140" s="6" t="str">
        <f>IF(C140&lt;&gt;"",VLOOKUP(C140,Config!A142:B145,2,FALSE),"")</f>
        <v/>
      </c>
      <c r="C140" s="5" t="str">
        <f>IF(ISNA(VLOOKUP($A140,Table1[],2,FALSE)),"",VLOOKUP($A140,Table1[],2,FALSE))</f>
        <v/>
      </c>
      <c r="D140" s="5" t="str">
        <f>IF(ISNA(VLOOKUP($A140,Table1[],3,FALSE)),"",VLOOKUP($A140,Table1[],3,FALSE))</f>
        <v/>
      </c>
      <c r="E140" s="5" t="str">
        <f>IF(ISNA(VLOOKUP($A140,Table1[],2,FALSE)),"",VLOOKUP($A140,Table1[],4,FALSE))</f>
        <v/>
      </c>
    </row>
    <row r="141" spans="1:5" ht="20" customHeight="1" x14ac:dyDescent="0.35">
      <c r="A141" s="5"/>
      <c r="B141" s="6" t="str">
        <f>IF(C141&lt;&gt;"",VLOOKUP(C141,Config!A143:B146,2,FALSE),"")</f>
        <v/>
      </c>
      <c r="C141" s="5" t="str">
        <f>IF(ISNA(VLOOKUP($A141,Table1[],2,FALSE)),"",VLOOKUP($A141,Table1[],2,FALSE))</f>
        <v/>
      </c>
      <c r="D141" s="5" t="str">
        <f>IF(ISNA(VLOOKUP($A141,Table1[],3,FALSE)),"",VLOOKUP($A141,Table1[],3,FALSE))</f>
        <v/>
      </c>
      <c r="E141" s="5" t="str">
        <f>IF(ISNA(VLOOKUP($A141,Table1[],2,FALSE)),"",VLOOKUP($A141,Table1[],4,FALSE))</f>
        <v/>
      </c>
    </row>
    <row r="142" spans="1:5" ht="20" customHeight="1" x14ac:dyDescent="0.35">
      <c r="A142" s="5"/>
      <c r="B142" s="6" t="str">
        <f>IF(C142&lt;&gt;"",VLOOKUP(C142,Config!A144:B147,2,FALSE),"")</f>
        <v/>
      </c>
      <c r="C142" s="5" t="str">
        <f>IF(ISNA(VLOOKUP($A142,Table1[],2,FALSE)),"",VLOOKUP($A142,Table1[],2,FALSE))</f>
        <v/>
      </c>
      <c r="D142" s="5" t="str">
        <f>IF(ISNA(VLOOKUP($A142,Table1[],3,FALSE)),"",VLOOKUP($A142,Table1[],3,FALSE))</f>
        <v/>
      </c>
      <c r="E142" s="5" t="str">
        <f>IF(ISNA(VLOOKUP($A142,Table1[],2,FALSE)),"",VLOOKUP($A142,Table1[],4,FALSE))</f>
        <v/>
      </c>
    </row>
    <row r="143" spans="1:5" ht="20" customHeight="1" x14ac:dyDescent="0.35">
      <c r="A143" s="5"/>
      <c r="B143" s="6" t="str">
        <f>IF(C143&lt;&gt;"",VLOOKUP(C143,Config!A145:B148,2,FALSE),"")</f>
        <v/>
      </c>
      <c r="C143" s="5" t="str">
        <f>IF(ISNA(VLOOKUP($A143,Table1[],2,FALSE)),"",VLOOKUP($A143,Table1[],2,FALSE))</f>
        <v/>
      </c>
      <c r="D143" s="5" t="str">
        <f>IF(ISNA(VLOOKUP($A143,Table1[],3,FALSE)),"",VLOOKUP($A143,Table1[],3,FALSE))</f>
        <v/>
      </c>
      <c r="E143" s="5" t="str">
        <f>IF(ISNA(VLOOKUP($A143,Table1[],2,FALSE)),"",VLOOKUP($A143,Table1[],4,FALSE))</f>
        <v/>
      </c>
    </row>
    <row r="144" spans="1:5" ht="20" customHeight="1" x14ac:dyDescent="0.35">
      <c r="A144" s="5"/>
      <c r="B144" s="6" t="str">
        <f>IF(C144&lt;&gt;"",VLOOKUP(C144,Config!A146:B149,2,FALSE),"")</f>
        <v/>
      </c>
      <c r="C144" s="5" t="str">
        <f>IF(ISNA(VLOOKUP($A144,Table1[],2,FALSE)),"",VLOOKUP($A144,Table1[],2,FALSE))</f>
        <v/>
      </c>
      <c r="D144" s="5" t="str">
        <f>IF(ISNA(VLOOKUP($A144,Table1[],3,FALSE)),"",VLOOKUP($A144,Table1[],3,FALSE))</f>
        <v/>
      </c>
      <c r="E144" s="5" t="str">
        <f>IF(ISNA(VLOOKUP($A144,Table1[],2,FALSE)),"",VLOOKUP($A144,Table1[],4,FALSE))</f>
        <v/>
      </c>
    </row>
    <row r="145" spans="1:5" ht="20" customHeight="1" x14ac:dyDescent="0.35">
      <c r="A145" s="5"/>
      <c r="B145" s="6" t="str">
        <f>IF(C145&lt;&gt;"",VLOOKUP(C145,Config!A147:B150,2,FALSE),"")</f>
        <v/>
      </c>
      <c r="C145" s="5" t="str">
        <f>IF(ISNA(VLOOKUP($A145,Table1[],2,FALSE)),"",VLOOKUP($A145,Table1[],2,FALSE))</f>
        <v/>
      </c>
      <c r="D145" s="5" t="str">
        <f>IF(ISNA(VLOOKUP($A145,Table1[],3,FALSE)),"",VLOOKUP($A145,Table1[],3,FALSE))</f>
        <v/>
      </c>
      <c r="E145" s="5" t="str">
        <f>IF(ISNA(VLOOKUP($A145,Table1[],2,FALSE)),"",VLOOKUP($A145,Table1[],4,FALSE))</f>
        <v/>
      </c>
    </row>
    <row r="146" spans="1:5" ht="20" customHeight="1" x14ac:dyDescent="0.35">
      <c r="A146" s="5"/>
      <c r="B146" s="6" t="str">
        <f>IF(C146&lt;&gt;"",VLOOKUP(C146,Config!A148:B151,2,FALSE),"")</f>
        <v/>
      </c>
      <c r="C146" s="5" t="str">
        <f>IF(ISNA(VLOOKUP($A146,Table1[],2,FALSE)),"",VLOOKUP($A146,Table1[],2,FALSE))</f>
        <v/>
      </c>
      <c r="D146" s="5" t="str">
        <f>IF(ISNA(VLOOKUP($A146,Table1[],3,FALSE)),"",VLOOKUP($A146,Table1[],3,FALSE))</f>
        <v/>
      </c>
      <c r="E146" s="5" t="str">
        <f>IF(ISNA(VLOOKUP($A146,Table1[],2,FALSE)),"",VLOOKUP($A146,Table1[],4,FALSE))</f>
        <v/>
      </c>
    </row>
    <row r="147" spans="1:5" ht="20" customHeight="1" x14ac:dyDescent="0.35">
      <c r="A147" s="5"/>
      <c r="B147" s="6" t="str">
        <f>IF(C147&lt;&gt;"",VLOOKUP(C147,Config!A149:B152,2,FALSE),"")</f>
        <v/>
      </c>
      <c r="C147" s="5" t="str">
        <f>IF(ISNA(VLOOKUP($A147,Table1[],2,FALSE)),"",VLOOKUP($A147,Table1[],2,FALSE))</f>
        <v/>
      </c>
      <c r="D147" s="5" t="str">
        <f>IF(ISNA(VLOOKUP($A147,Table1[],3,FALSE)),"",VLOOKUP($A147,Table1[],3,FALSE))</f>
        <v/>
      </c>
      <c r="E147" s="5" t="str">
        <f>IF(ISNA(VLOOKUP($A147,Table1[],2,FALSE)),"",VLOOKUP($A147,Table1[],4,FALSE))</f>
        <v/>
      </c>
    </row>
    <row r="148" spans="1:5" ht="20" customHeight="1" x14ac:dyDescent="0.35">
      <c r="A148" s="5"/>
      <c r="B148" s="6" t="str">
        <f>IF(C148&lt;&gt;"",VLOOKUP(C148,Config!A150:B153,2,FALSE),"")</f>
        <v/>
      </c>
      <c r="C148" s="5" t="str">
        <f>IF(ISNA(VLOOKUP($A148,Table1[],2,FALSE)),"",VLOOKUP($A148,Table1[],2,FALSE))</f>
        <v/>
      </c>
      <c r="D148" s="5" t="str">
        <f>IF(ISNA(VLOOKUP($A148,Table1[],3,FALSE)),"",VLOOKUP($A148,Table1[],3,FALSE))</f>
        <v/>
      </c>
      <c r="E148" s="5" t="str">
        <f>IF(ISNA(VLOOKUP($A148,Table1[],2,FALSE)),"",VLOOKUP($A148,Table1[],4,FALSE))</f>
        <v/>
      </c>
    </row>
    <row r="149" spans="1:5" ht="20" customHeight="1" x14ac:dyDescent="0.35">
      <c r="A149" s="5"/>
      <c r="B149" s="6" t="str">
        <f>IF(C149&lt;&gt;"",VLOOKUP(C149,Config!A151:B154,2,FALSE),"")</f>
        <v/>
      </c>
      <c r="C149" s="5" t="str">
        <f>IF(ISNA(VLOOKUP($A149,Table1[],2,FALSE)),"",VLOOKUP($A149,Table1[],2,FALSE))</f>
        <v/>
      </c>
      <c r="D149" s="5" t="str">
        <f>IF(ISNA(VLOOKUP($A149,Table1[],3,FALSE)),"",VLOOKUP($A149,Table1[],3,FALSE))</f>
        <v/>
      </c>
      <c r="E149" s="5" t="str">
        <f>IF(ISNA(VLOOKUP($A149,Table1[],2,FALSE)),"",VLOOKUP($A149,Table1[],4,FALSE))</f>
        <v/>
      </c>
    </row>
    <row r="150" spans="1:5" ht="20" customHeight="1" x14ac:dyDescent="0.35">
      <c r="A150" s="5"/>
      <c r="B150" s="6" t="str">
        <f>IF(C150&lt;&gt;"",VLOOKUP(C150,Config!A152:B155,2,FALSE),"")</f>
        <v/>
      </c>
      <c r="C150" s="5" t="str">
        <f>IF(ISNA(VLOOKUP($A150,Table1[],2,FALSE)),"",VLOOKUP($A150,Table1[],2,FALSE))</f>
        <v/>
      </c>
      <c r="D150" s="5" t="str">
        <f>IF(ISNA(VLOOKUP($A150,Table1[],3,FALSE)),"",VLOOKUP($A150,Table1[],3,FALSE))</f>
        <v/>
      </c>
      <c r="E150" s="5" t="str">
        <f>IF(ISNA(VLOOKUP($A150,Table1[],2,FALSE)),"",VLOOKUP($A150,Table1[],4,FALSE))</f>
        <v/>
      </c>
    </row>
    <row r="151" spans="1:5" ht="20" customHeight="1" x14ac:dyDescent="0.35">
      <c r="A151" s="5"/>
      <c r="B151" s="6" t="str">
        <f>IF(C151&lt;&gt;"",VLOOKUP(C151,Config!A153:B156,2,FALSE),"")</f>
        <v/>
      </c>
      <c r="C151" s="5" t="str">
        <f>IF(ISNA(VLOOKUP($A151,Table1[],2,FALSE)),"",VLOOKUP($A151,Table1[],2,FALSE))</f>
        <v/>
      </c>
      <c r="D151" s="5" t="str">
        <f>IF(ISNA(VLOOKUP($A151,Table1[],3,FALSE)),"",VLOOKUP($A151,Table1[],3,FALSE))</f>
        <v/>
      </c>
      <c r="E151" s="5" t="str">
        <f>IF(ISNA(VLOOKUP($A151,Table1[],2,FALSE)),"",VLOOKUP($A151,Table1[],4,FALSE))</f>
        <v/>
      </c>
    </row>
    <row r="152" spans="1:5" ht="20" customHeight="1" x14ac:dyDescent="0.35">
      <c r="A152" s="5"/>
      <c r="B152" s="6" t="str">
        <f>IF(C152&lt;&gt;"",VLOOKUP(C152,Config!A154:B157,2,FALSE),"")</f>
        <v/>
      </c>
      <c r="C152" s="5" t="str">
        <f>IF(ISNA(VLOOKUP($A152,Table1[],2,FALSE)),"",VLOOKUP($A152,Table1[],2,FALSE))</f>
        <v/>
      </c>
      <c r="D152" s="5" t="str">
        <f>IF(ISNA(VLOOKUP($A152,Table1[],3,FALSE)),"",VLOOKUP($A152,Table1[],3,FALSE))</f>
        <v/>
      </c>
      <c r="E152" s="5" t="str">
        <f>IF(ISNA(VLOOKUP($A152,Table1[],2,FALSE)),"",VLOOKUP($A152,Table1[],4,FALSE))</f>
        <v/>
      </c>
    </row>
    <row r="153" spans="1:5" ht="20" customHeight="1" x14ac:dyDescent="0.35">
      <c r="A153" s="5"/>
      <c r="B153" s="6" t="str">
        <f>IF(C153&lt;&gt;"",VLOOKUP(C153,Config!A155:B158,2,FALSE),"")</f>
        <v/>
      </c>
      <c r="C153" s="5" t="str">
        <f>IF(ISNA(VLOOKUP($A153,Table1[],2,FALSE)),"",VLOOKUP($A153,Table1[],2,FALSE))</f>
        <v/>
      </c>
      <c r="D153" s="5" t="str">
        <f>IF(ISNA(VLOOKUP($A153,Table1[],3,FALSE)),"",VLOOKUP($A153,Table1[],3,FALSE))</f>
        <v/>
      </c>
      <c r="E153" s="5" t="str">
        <f>IF(ISNA(VLOOKUP($A153,Table1[],2,FALSE)),"",VLOOKUP($A153,Table1[],4,FALSE))</f>
        <v/>
      </c>
    </row>
    <row r="154" spans="1:5" ht="20" customHeight="1" x14ac:dyDescent="0.35">
      <c r="A154" s="5"/>
      <c r="B154" s="6" t="str">
        <f>IF(C154&lt;&gt;"",VLOOKUP(C154,Config!A156:B159,2,FALSE),"")</f>
        <v/>
      </c>
      <c r="C154" s="5" t="str">
        <f>IF(ISNA(VLOOKUP($A154,Table1[],2,FALSE)),"",VLOOKUP($A154,Table1[],2,FALSE))</f>
        <v/>
      </c>
      <c r="D154" s="5" t="str">
        <f>IF(ISNA(VLOOKUP($A154,Table1[],3,FALSE)),"",VLOOKUP($A154,Table1[],3,FALSE))</f>
        <v/>
      </c>
      <c r="E154" s="5" t="str">
        <f>IF(ISNA(VLOOKUP($A154,Table1[],2,FALSE)),"",VLOOKUP($A154,Table1[],4,FALSE))</f>
        <v/>
      </c>
    </row>
    <row r="155" spans="1:5" ht="20.5" customHeight="1" x14ac:dyDescent="0.35">
      <c r="A155" s="5"/>
      <c r="B155" s="6" t="str">
        <f>IF(C155&lt;&gt;"",VLOOKUP(C155,Config!A157:B160,2,FALSE),"")</f>
        <v/>
      </c>
      <c r="C155" s="5" t="str">
        <f>IF(ISNA(VLOOKUP($A155,Table1[],2,FALSE)),"",VLOOKUP($A155,Table1[],2,FALSE))</f>
        <v/>
      </c>
      <c r="D155" s="5" t="str">
        <f>IF(ISNA(VLOOKUP($A155,Table1[],3,FALSE)),"",VLOOKUP($A155,Table1[],3,FALSE))</f>
        <v/>
      </c>
      <c r="E155" s="5" t="str">
        <f>IF(ISNA(VLOOKUP($A155,Table1[],2,FALSE)),"",VLOOKUP($A155,Table1[],4,FALSE))</f>
        <v/>
      </c>
    </row>
    <row r="156" spans="1:5" ht="20.5" customHeight="1" x14ac:dyDescent="0.35">
      <c r="A156" s="5"/>
      <c r="B156" s="6" t="str">
        <f>IF(C156&lt;&gt;"",VLOOKUP(C156,Config!A158:B161,2,FALSE),"")</f>
        <v/>
      </c>
      <c r="C156" s="5" t="str">
        <f>IF(ISNA(VLOOKUP($A156,Table1[],2,FALSE)),"",VLOOKUP($A156,Table1[],2,FALSE))</f>
        <v/>
      </c>
      <c r="D156" s="5" t="str">
        <f>IF(ISNA(VLOOKUP($A156,Table1[],3,FALSE)),"",VLOOKUP($A156,Table1[],3,FALSE))</f>
        <v/>
      </c>
      <c r="E156" s="5" t="str">
        <f>IF(ISNA(VLOOKUP($A156,Table1[],2,FALSE)),"",VLOOKUP($A156,Table1[],4,FALSE))</f>
        <v/>
      </c>
    </row>
    <row r="157" spans="1:5" ht="20.5" customHeight="1" x14ac:dyDescent="0.35">
      <c r="A157" s="5"/>
      <c r="B157" s="6" t="str">
        <f>IF(C157&lt;&gt;"",VLOOKUP(C157,Config!A159:B162,2,FALSE),"")</f>
        <v/>
      </c>
      <c r="C157" s="5" t="str">
        <f>IF(ISNA(VLOOKUP($A157,Table1[],2,FALSE)),"",VLOOKUP($A157,Table1[],2,FALSE))</f>
        <v/>
      </c>
      <c r="D157" s="5" t="str">
        <f>IF(ISNA(VLOOKUP($A157,Table1[],3,FALSE)),"",VLOOKUP($A157,Table1[],3,FALSE))</f>
        <v/>
      </c>
      <c r="E157" s="5" t="str">
        <f>IF(ISNA(VLOOKUP($A157,Table1[],2,FALSE)),"",VLOOKUP($A157,Table1[],4,FALSE))</f>
        <v/>
      </c>
    </row>
    <row r="158" spans="1:5" ht="20.5" customHeight="1" x14ac:dyDescent="0.35">
      <c r="A158" s="5"/>
      <c r="B158" s="6" t="str">
        <f>IF(C158&lt;&gt;"",VLOOKUP(C158,Config!A160:B163,2,FALSE),"")</f>
        <v/>
      </c>
      <c r="C158" s="5" t="str">
        <f>IF(ISNA(VLOOKUP($A158,Table1[],2,FALSE)),"",VLOOKUP($A158,Table1[],2,FALSE))</f>
        <v/>
      </c>
      <c r="D158" s="5" t="str">
        <f>IF(ISNA(VLOOKUP($A158,Table1[],3,FALSE)),"",VLOOKUP($A158,Table1[],3,FALSE))</f>
        <v/>
      </c>
      <c r="E158" s="5" t="str">
        <f>IF(ISNA(VLOOKUP($A158,Table1[],2,FALSE)),"",VLOOKUP($A158,Table1[],4,FALSE))</f>
        <v/>
      </c>
    </row>
    <row r="159" spans="1:5" ht="20.5" customHeight="1" x14ac:dyDescent="0.35">
      <c r="A159" s="5"/>
      <c r="B159" s="6" t="str">
        <f>IF(C159&lt;&gt;"",VLOOKUP(C159,Config!A161:B164,2,FALSE),"")</f>
        <v/>
      </c>
      <c r="C159" s="5" t="str">
        <f>IF(ISNA(VLOOKUP($A159,Table1[],2,FALSE)),"",VLOOKUP($A159,Table1[],2,FALSE))</f>
        <v/>
      </c>
      <c r="D159" s="5" t="str">
        <f>IF(ISNA(VLOOKUP($A159,Table1[],3,FALSE)),"",VLOOKUP($A159,Table1[],3,FALSE))</f>
        <v/>
      </c>
      <c r="E159" s="5" t="str">
        <f>IF(ISNA(VLOOKUP($A159,Table1[],2,FALSE)),"",VLOOKUP($A159,Table1[],4,FALSE))</f>
        <v/>
      </c>
    </row>
    <row r="160" spans="1:5" ht="20.5" customHeight="1" x14ac:dyDescent="0.35">
      <c r="A160" s="5"/>
      <c r="B160" s="6" t="str">
        <f>IF(C160&lt;&gt;"",VLOOKUP(C160,Config!A162:B165,2,FALSE),"")</f>
        <v/>
      </c>
      <c r="C160" s="5" t="str">
        <f>IF(ISNA(VLOOKUP($A160,Table1[],2,FALSE)),"",VLOOKUP($A160,Table1[],2,FALSE))</f>
        <v/>
      </c>
      <c r="D160" s="5" t="str">
        <f>IF(ISNA(VLOOKUP($A160,Table1[],3,FALSE)),"",VLOOKUP($A160,Table1[],3,FALSE))</f>
        <v/>
      </c>
      <c r="E160" s="5" t="str">
        <f>IF(ISNA(VLOOKUP($A160,Table1[],2,FALSE)),"",VLOOKUP($A160,Table1[],4,FALSE))</f>
        <v/>
      </c>
    </row>
    <row r="161" spans="1:5" ht="20.5" customHeight="1" x14ac:dyDescent="0.35">
      <c r="A161" s="5"/>
      <c r="B161" s="6" t="str">
        <f>IF(C161&lt;&gt;"",VLOOKUP(C161,Config!A163:B166,2,FALSE),"")</f>
        <v/>
      </c>
      <c r="C161" s="5" t="str">
        <f>IF(ISNA(VLOOKUP($A161,Table1[],2,FALSE)),"",VLOOKUP($A161,Table1[],2,FALSE))</f>
        <v/>
      </c>
      <c r="D161" s="5" t="str">
        <f>IF(ISNA(VLOOKUP($A161,Table1[],3,FALSE)),"",VLOOKUP($A161,Table1[],3,FALSE))</f>
        <v/>
      </c>
      <c r="E161" s="5" t="str">
        <f>IF(ISNA(VLOOKUP($A161,Table1[],2,FALSE)),"",VLOOKUP($A161,Table1[],4,FALSE))</f>
        <v/>
      </c>
    </row>
    <row r="162" spans="1:5" ht="20.5" customHeight="1" x14ac:dyDescent="0.35">
      <c r="A162" s="5"/>
      <c r="B162" s="6" t="str">
        <f>IF(C162&lt;&gt;"",VLOOKUP(C162,Config!A164:B167,2,FALSE),"")</f>
        <v/>
      </c>
      <c r="C162" s="5" t="str">
        <f>IF(ISNA(VLOOKUP($A162,Table1[],2,FALSE)),"",VLOOKUP($A162,Table1[],2,FALSE))</f>
        <v/>
      </c>
      <c r="D162" s="5" t="str">
        <f>IF(ISNA(VLOOKUP($A162,Table1[],3,FALSE)),"",VLOOKUP($A162,Table1[],3,FALSE))</f>
        <v/>
      </c>
      <c r="E162" s="5" t="str">
        <f>IF(ISNA(VLOOKUP($A162,Table1[],2,FALSE)),"",VLOOKUP($A162,Table1[],4,FALSE))</f>
        <v/>
      </c>
    </row>
    <row r="163" spans="1:5" ht="20.5" customHeight="1" x14ac:dyDescent="0.35">
      <c r="A163" s="5"/>
      <c r="B163" s="6" t="str">
        <f>IF(C163&lt;&gt;"",VLOOKUP(C163,Config!A165:B168,2,FALSE),"")</f>
        <v/>
      </c>
      <c r="C163" s="5" t="str">
        <f>IF(ISNA(VLOOKUP($A163,Table1[],2,FALSE)),"",VLOOKUP($A163,Table1[],2,FALSE))</f>
        <v/>
      </c>
      <c r="D163" s="5" t="str">
        <f>IF(ISNA(VLOOKUP($A163,Table1[],3,FALSE)),"",VLOOKUP($A163,Table1[],3,FALSE))</f>
        <v/>
      </c>
      <c r="E163" s="5" t="str">
        <f>IF(ISNA(VLOOKUP($A163,Table1[],2,FALSE)),"",VLOOKUP($A163,Table1[],4,FALSE))</f>
        <v/>
      </c>
    </row>
    <row r="164" spans="1:5" ht="20.5" customHeight="1" x14ac:dyDescent="0.35">
      <c r="A164" s="5"/>
      <c r="B164" s="6" t="str">
        <f>IF(C164&lt;&gt;"",VLOOKUP(C164,Config!A166:B169,2,FALSE),"")</f>
        <v/>
      </c>
      <c r="C164" s="5" t="str">
        <f>IF(ISNA(VLOOKUP($A164,Table1[],2,FALSE)),"",VLOOKUP($A164,Table1[],2,FALSE))</f>
        <v/>
      </c>
      <c r="D164" s="5" t="str">
        <f>IF(ISNA(VLOOKUP($A164,Table1[],3,FALSE)),"",VLOOKUP($A164,Table1[],3,FALSE))</f>
        <v/>
      </c>
      <c r="E164" s="5" t="str">
        <f>IF(ISNA(VLOOKUP($A164,Table1[],2,FALSE)),"",VLOOKUP($A164,Table1[],4,FALSE))</f>
        <v/>
      </c>
    </row>
    <row r="165" spans="1:5" ht="20.5" customHeight="1" x14ac:dyDescent="0.35">
      <c r="A165" s="5"/>
      <c r="B165" s="6" t="str">
        <f>IF(C165&lt;&gt;"",VLOOKUP(C165,Config!A167:B170,2,FALSE),"")</f>
        <v/>
      </c>
      <c r="C165" s="5" t="str">
        <f>IF(ISNA(VLOOKUP($A165,Table1[],2,FALSE)),"",VLOOKUP($A165,Table1[],2,FALSE))</f>
        <v/>
      </c>
      <c r="D165" s="5" t="str">
        <f>IF(ISNA(VLOOKUP($A165,Table1[],3,FALSE)),"",VLOOKUP($A165,Table1[],3,FALSE))</f>
        <v/>
      </c>
      <c r="E165" s="5" t="str">
        <f>IF(ISNA(VLOOKUP($A165,Table1[],2,FALSE)),"",VLOOKUP($A165,Table1[],4,FALSE))</f>
        <v/>
      </c>
    </row>
    <row r="166" spans="1:5" ht="20.5" customHeight="1" x14ac:dyDescent="0.35">
      <c r="A166" s="5"/>
      <c r="B166" s="6" t="str">
        <f>IF(C166&lt;&gt;"",VLOOKUP(C166,Config!A168:B171,2,FALSE),"")</f>
        <v/>
      </c>
      <c r="C166" s="5" t="str">
        <f>IF(ISNA(VLOOKUP($A166,Table1[],2,FALSE)),"",VLOOKUP($A166,Table1[],2,FALSE))</f>
        <v/>
      </c>
      <c r="D166" s="5" t="str">
        <f>IF(ISNA(VLOOKUP($A166,Table1[],3,FALSE)),"",VLOOKUP($A166,Table1[],3,FALSE))</f>
        <v/>
      </c>
      <c r="E166" s="5" t="str">
        <f>IF(ISNA(VLOOKUP($A166,Table1[],2,FALSE)),"",VLOOKUP($A166,Table1[],4,FALSE))</f>
        <v/>
      </c>
    </row>
    <row r="167" spans="1:5" ht="20.5" customHeight="1" x14ac:dyDescent="0.35">
      <c r="A167" s="5"/>
      <c r="B167" s="6" t="str">
        <f>IF(C167&lt;&gt;"",VLOOKUP(C167,Config!A169:B172,2,FALSE),"")</f>
        <v/>
      </c>
      <c r="C167" s="5" t="str">
        <f>IF(ISNA(VLOOKUP($A167,Table1[],2,FALSE)),"",VLOOKUP($A167,Table1[],2,FALSE))</f>
        <v/>
      </c>
      <c r="D167" s="5" t="str">
        <f>IF(ISNA(VLOOKUP($A167,Table1[],3,FALSE)),"",VLOOKUP($A167,Table1[],3,FALSE))</f>
        <v/>
      </c>
      <c r="E167" s="5" t="str">
        <f>IF(ISNA(VLOOKUP($A167,Table1[],2,FALSE)),"",VLOOKUP($A167,Table1[],4,FALSE))</f>
        <v/>
      </c>
    </row>
    <row r="168" spans="1:5" ht="20.5" customHeight="1" x14ac:dyDescent="0.35">
      <c r="A168" s="5"/>
      <c r="B168" s="6" t="str">
        <f>IF(C168&lt;&gt;"",VLOOKUP(C168,Config!A170:B173,2,FALSE),"")</f>
        <v/>
      </c>
      <c r="C168" s="5" t="str">
        <f>IF(ISNA(VLOOKUP($A168,Table1[],2,FALSE)),"",VLOOKUP($A168,Table1[],2,FALSE))</f>
        <v/>
      </c>
      <c r="D168" s="5" t="str">
        <f>IF(ISNA(VLOOKUP($A168,Table1[],3,FALSE)),"",VLOOKUP($A168,Table1[],3,FALSE))</f>
        <v/>
      </c>
      <c r="E168" s="5" t="str">
        <f>IF(ISNA(VLOOKUP($A168,Table1[],2,FALSE)),"",VLOOKUP($A168,Table1[],4,FALSE))</f>
        <v/>
      </c>
    </row>
    <row r="169" spans="1:5" ht="20.5" customHeight="1" x14ac:dyDescent="0.35">
      <c r="A169" s="5"/>
      <c r="B169" s="6" t="str">
        <f>IF(C169&lt;&gt;"",VLOOKUP(C169,Config!A171:B174,2,FALSE),"")</f>
        <v/>
      </c>
      <c r="C169" s="5" t="str">
        <f>IF(ISNA(VLOOKUP($A169,Table1[],2,FALSE)),"",VLOOKUP($A169,Table1[],2,FALSE))</f>
        <v/>
      </c>
      <c r="D169" s="5" t="str">
        <f>IF(ISNA(VLOOKUP($A169,Table1[],3,FALSE)),"",VLOOKUP($A169,Table1[],3,FALSE))</f>
        <v/>
      </c>
      <c r="E169" s="5" t="str">
        <f>IF(ISNA(VLOOKUP($A169,Table1[],2,FALSE)),"",VLOOKUP($A169,Table1[],4,FALSE))</f>
        <v/>
      </c>
    </row>
    <row r="170" spans="1:5" ht="20.5" customHeight="1" x14ac:dyDescent="0.35">
      <c r="A170" s="5"/>
      <c r="B170" s="6" t="str">
        <f>IF(C170&lt;&gt;"",VLOOKUP(C170,Config!A172:B175,2,FALSE),"")</f>
        <v/>
      </c>
      <c r="C170" s="5" t="str">
        <f>IF(ISNA(VLOOKUP($A170,Table1[],2,FALSE)),"",VLOOKUP($A170,Table1[],2,FALSE))</f>
        <v/>
      </c>
      <c r="D170" s="5" t="str">
        <f>IF(ISNA(VLOOKUP($A170,Table1[],3,FALSE)),"",VLOOKUP($A170,Table1[],3,FALSE))</f>
        <v/>
      </c>
      <c r="E170" s="5" t="str">
        <f>IF(ISNA(VLOOKUP($A170,Table1[],2,FALSE)),"",VLOOKUP($A170,Table1[],4,FALSE))</f>
        <v/>
      </c>
    </row>
    <row r="171" spans="1:5" ht="20.5" customHeight="1" x14ac:dyDescent="0.35">
      <c r="A171" s="5"/>
      <c r="B171" s="6" t="str">
        <f>IF(C171&lt;&gt;"",VLOOKUP(C171,Config!A173:B176,2,FALSE),"")</f>
        <v/>
      </c>
      <c r="C171" s="5" t="str">
        <f>IF(ISNA(VLOOKUP($A171,Table1[],2,FALSE)),"",VLOOKUP($A171,Table1[],2,FALSE))</f>
        <v/>
      </c>
      <c r="D171" s="5" t="str">
        <f>IF(ISNA(VLOOKUP($A171,Table1[],3,FALSE)),"",VLOOKUP($A171,Table1[],3,FALSE))</f>
        <v/>
      </c>
      <c r="E171" s="5" t="str">
        <f>IF(ISNA(VLOOKUP($A171,Table1[],2,FALSE)),"",VLOOKUP($A171,Table1[],4,FALSE))</f>
        <v/>
      </c>
    </row>
    <row r="172" spans="1:5" ht="20.5" customHeight="1" x14ac:dyDescent="0.35">
      <c r="A172" s="5"/>
      <c r="B172" s="6" t="str">
        <f>IF(C172&lt;&gt;"",VLOOKUP(C172,Config!A174:B177,2,FALSE),"")</f>
        <v/>
      </c>
      <c r="C172" s="5" t="str">
        <f>IF(ISNA(VLOOKUP($A172,Table1[],2,FALSE)),"",VLOOKUP($A172,Table1[],2,FALSE))</f>
        <v/>
      </c>
      <c r="D172" s="5" t="str">
        <f>IF(ISNA(VLOOKUP($A172,Table1[],3,FALSE)),"",VLOOKUP($A172,Table1[],3,FALSE))</f>
        <v/>
      </c>
      <c r="E172" s="5" t="str">
        <f>IF(ISNA(VLOOKUP($A172,Table1[],2,FALSE)),"",VLOOKUP($A172,Table1[],4,FALSE))</f>
        <v/>
      </c>
    </row>
    <row r="173" spans="1:5" ht="20.5" customHeight="1" x14ac:dyDescent="0.35">
      <c r="A173" s="5"/>
      <c r="B173" s="6" t="str">
        <f>IF(C173&lt;&gt;"",VLOOKUP(C173,Config!A175:B178,2,FALSE),"")</f>
        <v/>
      </c>
      <c r="C173" s="5" t="str">
        <f>IF(ISNA(VLOOKUP($A173,Table1[],2,FALSE)),"",VLOOKUP($A173,Table1[],2,FALSE))</f>
        <v/>
      </c>
      <c r="D173" s="5" t="str">
        <f>IF(ISNA(VLOOKUP($A173,Table1[],3,FALSE)),"",VLOOKUP($A173,Table1[],3,FALSE))</f>
        <v/>
      </c>
      <c r="E173" s="5" t="str">
        <f>IF(ISNA(VLOOKUP($A173,Table1[],2,FALSE)),"",VLOOKUP($A173,Table1[],4,FALSE))</f>
        <v/>
      </c>
    </row>
    <row r="174" spans="1:5" ht="20.5" customHeight="1" x14ac:dyDescent="0.35">
      <c r="A174" s="5"/>
      <c r="B174" s="6" t="str">
        <f>IF(C174&lt;&gt;"",VLOOKUP(C174,Config!A176:B179,2,FALSE),"")</f>
        <v/>
      </c>
      <c r="C174" s="5" t="str">
        <f>IF(ISNA(VLOOKUP($A174,Table1[],2,FALSE)),"",VLOOKUP($A174,Table1[],2,FALSE))</f>
        <v/>
      </c>
      <c r="D174" s="5" t="str">
        <f>IF(ISNA(VLOOKUP($A174,Table1[],3,FALSE)),"",VLOOKUP($A174,Table1[],3,FALSE))</f>
        <v/>
      </c>
      <c r="E174" s="5" t="str">
        <f>IF(ISNA(VLOOKUP($A174,Table1[],2,FALSE)),"",VLOOKUP($A174,Table1[],4,FALSE))</f>
        <v/>
      </c>
    </row>
    <row r="175" spans="1:5" ht="20.5" customHeight="1" x14ac:dyDescent="0.35">
      <c r="A175" s="5"/>
      <c r="B175" s="6" t="str">
        <f>IF(C175&lt;&gt;"",VLOOKUP(C175,Config!A177:B180,2,FALSE),"")</f>
        <v/>
      </c>
      <c r="C175" s="5" t="str">
        <f>IF(ISNA(VLOOKUP($A175,Table1[],2,FALSE)),"",VLOOKUP($A175,Table1[],2,FALSE))</f>
        <v/>
      </c>
      <c r="D175" s="5" t="str">
        <f>IF(ISNA(VLOOKUP($A175,Table1[],3,FALSE)),"",VLOOKUP($A175,Table1[],3,FALSE))</f>
        <v/>
      </c>
      <c r="E175" s="5" t="str">
        <f>IF(ISNA(VLOOKUP($A175,Table1[],2,FALSE)),"",VLOOKUP($A175,Table1[],4,FALSE))</f>
        <v/>
      </c>
    </row>
    <row r="176" spans="1:5" ht="20.5" customHeight="1" x14ac:dyDescent="0.35">
      <c r="A176" s="5"/>
      <c r="B176" s="6" t="str">
        <f>IF(C176&lt;&gt;"",VLOOKUP(C176,Config!A178:B181,2,FALSE),"")</f>
        <v/>
      </c>
      <c r="C176" s="5" t="str">
        <f>IF(ISNA(VLOOKUP($A176,Table1[],2,FALSE)),"",VLOOKUP($A176,Table1[],2,FALSE))</f>
        <v/>
      </c>
      <c r="D176" s="5" t="str">
        <f>IF(ISNA(VLOOKUP($A176,Table1[],3,FALSE)),"",VLOOKUP($A176,Table1[],3,FALSE))</f>
        <v/>
      </c>
      <c r="E176" s="5" t="str">
        <f>IF(ISNA(VLOOKUP($A176,Table1[],2,FALSE)),"",VLOOKUP($A176,Table1[],4,FALSE))</f>
        <v/>
      </c>
    </row>
    <row r="177" spans="1:5" ht="20.5" customHeight="1" x14ac:dyDescent="0.35">
      <c r="A177" s="5"/>
      <c r="B177" s="6" t="str">
        <f>IF(C177&lt;&gt;"",VLOOKUP(C177,Config!A179:B182,2,FALSE),"")</f>
        <v/>
      </c>
      <c r="C177" s="5" t="str">
        <f>IF(ISNA(VLOOKUP($A177,Table1[],2,FALSE)),"",VLOOKUP($A177,Table1[],2,FALSE))</f>
        <v/>
      </c>
      <c r="D177" s="5" t="str">
        <f>IF(ISNA(VLOOKUP($A177,Table1[],3,FALSE)),"",VLOOKUP($A177,Table1[],3,FALSE))</f>
        <v/>
      </c>
      <c r="E177" s="5" t="str">
        <f>IF(ISNA(VLOOKUP($A177,Table1[],2,FALSE)),"",VLOOKUP($A177,Table1[],4,FALSE))</f>
        <v/>
      </c>
    </row>
    <row r="178" spans="1:5" ht="20.5" customHeight="1" x14ac:dyDescent="0.35">
      <c r="A178" s="5"/>
      <c r="B178" s="6" t="str">
        <f>IF(C178&lt;&gt;"",VLOOKUP(C178,Config!A180:B183,2,FALSE),"")</f>
        <v/>
      </c>
      <c r="C178" s="5" t="str">
        <f>IF(ISNA(VLOOKUP($A178,Table1[],2,FALSE)),"",VLOOKUP($A178,Table1[],2,FALSE))</f>
        <v/>
      </c>
      <c r="D178" s="5" t="str">
        <f>IF(ISNA(VLOOKUP($A178,Table1[],3,FALSE)),"",VLOOKUP($A178,Table1[],3,FALSE))</f>
        <v/>
      </c>
      <c r="E178" s="5" t="str">
        <f>IF(ISNA(VLOOKUP($A178,Table1[],2,FALSE)),"",VLOOKUP($A178,Table1[],4,FALSE))</f>
        <v/>
      </c>
    </row>
    <row r="179" spans="1:5" ht="20.5" customHeight="1" x14ac:dyDescent="0.35">
      <c r="A179" s="5"/>
      <c r="B179" s="6" t="str">
        <f>IF(C179&lt;&gt;"",VLOOKUP(C179,Config!A181:B184,2,FALSE),"")</f>
        <v/>
      </c>
      <c r="C179" s="5" t="str">
        <f>IF(ISNA(VLOOKUP($A179,Table1[],2,FALSE)),"",VLOOKUP($A179,Table1[],2,FALSE))</f>
        <v/>
      </c>
      <c r="D179" s="5" t="str">
        <f>IF(ISNA(VLOOKUP($A179,Table1[],3,FALSE)),"",VLOOKUP($A179,Table1[],3,FALSE))</f>
        <v/>
      </c>
      <c r="E179" s="5" t="str">
        <f>IF(ISNA(VLOOKUP($A179,Table1[],2,FALSE)),"",VLOOKUP($A179,Table1[],4,FALSE))</f>
        <v/>
      </c>
    </row>
    <row r="180" spans="1:5" ht="20.5" customHeight="1" x14ac:dyDescent="0.35">
      <c r="A180" s="5"/>
      <c r="B180" s="6" t="str">
        <f>IF(C180&lt;&gt;"",VLOOKUP(C180,Config!A182:B185,2,FALSE),"")</f>
        <v/>
      </c>
      <c r="C180" s="5" t="str">
        <f>IF(ISNA(VLOOKUP($A180,Table1[],2,FALSE)),"",VLOOKUP($A180,Table1[],2,FALSE))</f>
        <v/>
      </c>
      <c r="D180" s="5" t="str">
        <f>IF(ISNA(VLOOKUP($A180,Table1[],3,FALSE)),"",VLOOKUP($A180,Table1[],3,FALSE))</f>
        <v/>
      </c>
      <c r="E180" s="5" t="str">
        <f>IF(ISNA(VLOOKUP($A180,Table1[],2,FALSE)),"",VLOOKUP($A180,Table1[],4,FALSE))</f>
        <v/>
      </c>
    </row>
    <row r="181" spans="1:5" ht="20.5" customHeight="1" x14ac:dyDescent="0.35">
      <c r="A181" s="5"/>
      <c r="B181" s="6" t="str">
        <f>IF(C181&lt;&gt;"",VLOOKUP(C181,Config!A183:B186,2,FALSE),"")</f>
        <v/>
      </c>
      <c r="C181" s="5" t="str">
        <f>IF(ISNA(VLOOKUP($A181,Table1[],2,FALSE)),"",VLOOKUP($A181,Table1[],2,FALSE))</f>
        <v/>
      </c>
      <c r="D181" s="5" t="str">
        <f>IF(ISNA(VLOOKUP($A181,Table1[],3,FALSE)),"",VLOOKUP($A181,Table1[],3,FALSE))</f>
        <v/>
      </c>
      <c r="E181" s="5" t="str">
        <f>IF(ISNA(VLOOKUP($A181,Table1[],2,FALSE)),"",VLOOKUP($A181,Table1[],4,FALSE))</f>
        <v/>
      </c>
    </row>
    <row r="182" spans="1:5" ht="20.5" customHeight="1" x14ac:dyDescent="0.35">
      <c r="A182" s="5"/>
      <c r="B182" s="6" t="str">
        <f>IF(C182&lt;&gt;"",VLOOKUP(C182,Config!A184:B187,2,FALSE),"")</f>
        <v/>
      </c>
      <c r="C182" s="5" t="str">
        <f>IF(ISNA(VLOOKUP($A182,Table1[],2,FALSE)),"",VLOOKUP($A182,Table1[],2,FALSE))</f>
        <v/>
      </c>
      <c r="D182" s="5" t="str">
        <f>IF(ISNA(VLOOKUP($A182,Table1[],3,FALSE)),"",VLOOKUP($A182,Table1[],3,FALSE))</f>
        <v/>
      </c>
      <c r="E182" s="5" t="str">
        <f>IF(ISNA(VLOOKUP($A182,Table1[],2,FALSE)),"",VLOOKUP($A182,Table1[],4,FALSE))</f>
        <v/>
      </c>
    </row>
    <row r="183" spans="1:5" ht="20.5" customHeight="1" x14ac:dyDescent="0.35">
      <c r="A183" s="5"/>
      <c r="B183" s="6" t="str">
        <f>IF(C183&lt;&gt;"",VLOOKUP(C183,Config!A185:B188,2,FALSE),"")</f>
        <v/>
      </c>
      <c r="C183" s="5" t="str">
        <f>IF(ISNA(VLOOKUP($A183,Table1[],2,FALSE)),"",VLOOKUP($A183,Table1[],2,FALSE))</f>
        <v/>
      </c>
      <c r="D183" s="5" t="str">
        <f>IF(ISNA(VLOOKUP($A183,Table1[],3,FALSE)),"",VLOOKUP($A183,Table1[],3,FALSE))</f>
        <v/>
      </c>
      <c r="E183" s="5" t="str">
        <f>IF(ISNA(VLOOKUP($A183,Table1[],2,FALSE)),"",VLOOKUP($A183,Table1[],4,FALSE))</f>
        <v/>
      </c>
    </row>
    <row r="184" spans="1:5" ht="20.5" customHeight="1" x14ac:dyDescent="0.35">
      <c r="A184" s="5"/>
      <c r="B184" s="6" t="str">
        <f>IF(C184&lt;&gt;"",VLOOKUP(C184,Config!A186:B189,2,FALSE),"")</f>
        <v/>
      </c>
      <c r="C184" s="5" t="str">
        <f>IF(ISNA(VLOOKUP($A184,Table1[],2,FALSE)),"",VLOOKUP($A184,Table1[],2,FALSE))</f>
        <v/>
      </c>
      <c r="D184" s="5" t="str">
        <f>IF(ISNA(VLOOKUP($A184,Table1[],3,FALSE)),"",VLOOKUP($A184,Table1[],3,FALSE))</f>
        <v/>
      </c>
      <c r="E184" s="5" t="str">
        <f>IF(ISNA(VLOOKUP($A184,Table1[],2,FALSE)),"",VLOOKUP($A184,Table1[],4,FALSE))</f>
        <v/>
      </c>
    </row>
    <row r="185" spans="1:5" ht="20.5" customHeight="1" x14ac:dyDescent="0.35">
      <c r="A185" s="5"/>
      <c r="B185" s="6" t="str">
        <f>IF(C185&lt;&gt;"",VLOOKUP(C185,Config!A187:B190,2,FALSE),"")</f>
        <v/>
      </c>
      <c r="C185" s="5" t="str">
        <f>IF(ISNA(VLOOKUP($A185,Table1[],2,FALSE)),"",VLOOKUP($A185,Table1[],2,FALSE))</f>
        <v/>
      </c>
      <c r="D185" s="5" t="str">
        <f>IF(ISNA(VLOOKUP($A185,Table1[],3,FALSE)),"",VLOOKUP($A185,Table1[],3,FALSE))</f>
        <v/>
      </c>
      <c r="E185" s="5" t="str">
        <f>IF(ISNA(VLOOKUP($A185,Table1[],2,FALSE)),"",VLOOKUP($A185,Table1[],4,FALSE))</f>
        <v/>
      </c>
    </row>
    <row r="186" spans="1:5" ht="20.5" customHeight="1" x14ac:dyDescent="0.35">
      <c r="A186" s="5"/>
      <c r="B186" s="6" t="str">
        <f>IF(C186&lt;&gt;"",VLOOKUP(C186,Config!A188:B191,2,FALSE),"")</f>
        <v/>
      </c>
      <c r="C186" s="5" t="str">
        <f>IF(ISNA(VLOOKUP($A186,Table1[],2,FALSE)),"",VLOOKUP($A186,Table1[],2,FALSE))</f>
        <v/>
      </c>
      <c r="D186" s="5" t="str">
        <f>IF(ISNA(VLOOKUP($A186,Table1[],3,FALSE)),"",VLOOKUP($A186,Table1[],3,FALSE))</f>
        <v/>
      </c>
      <c r="E186" s="5" t="str">
        <f>IF(ISNA(VLOOKUP($A186,Table1[],2,FALSE)),"",VLOOKUP($A186,Table1[],4,FALSE))</f>
        <v/>
      </c>
    </row>
    <row r="187" spans="1:5" ht="20.5" customHeight="1" x14ac:dyDescent="0.35">
      <c r="A187" s="5"/>
      <c r="B187" s="6" t="str">
        <f>IF(C187&lt;&gt;"",VLOOKUP(C187,Config!A189:B192,2,FALSE),"")</f>
        <v/>
      </c>
      <c r="C187" s="5" t="str">
        <f>IF(ISNA(VLOOKUP($A187,Table1[],2,FALSE)),"",VLOOKUP($A187,Table1[],2,FALSE))</f>
        <v/>
      </c>
      <c r="D187" s="5" t="str">
        <f>IF(ISNA(VLOOKUP($A187,Table1[],3,FALSE)),"",VLOOKUP($A187,Table1[],3,FALSE))</f>
        <v/>
      </c>
      <c r="E187" s="5" t="str">
        <f>IF(ISNA(VLOOKUP($A187,Table1[],2,FALSE)),"",VLOOKUP($A187,Table1[],4,FALSE))</f>
        <v/>
      </c>
    </row>
    <row r="188" spans="1:5" ht="20.5" customHeight="1" x14ac:dyDescent="0.35">
      <c r="A188" s="5"/>
      <c r="B188" s="6" t="str">
        <f>IF(C188&lt;&gt;"",VLOOKUP(C188,Config!A190:B193,2,FALSE),"")</f>
        <v/>
      </c>
      <c r="C188" s="5" t="str">
        <f>IF(ISNA(VLOOKUP($A188,Table1[],2,FALSE)),"",VLOOKUP($A188,Table1[],2,FALSE))</f>
        <v/>
      </c>
      <c r="D188" s="5" t="str">
        <f>IF(ISNA(VLOOKUP($A188,Table1[],3,FALSE)),"",VLOOKUP($A188,Table1[],3,FALSE))</f>
        <v/>
      </c>
      <c r="E188" s="5" t="str">
        <f>IF(ISNA(VLOOKUP($A188,Table1[],2,FALSE)),"",VLOOKUP($A188,Table1[],4,FALSE))</f>
        <v/>
      </c>
    </row>
    <row r="189" spans="1:5" ht="20.5" customHeight="1" x14ac:dyDescent="0.35">
      <c r="A189" s="5"/>
      <c r="B189" s="6" t="str">
        <f>IF(C189&lt;&gt;"",VLOOKUP(C189,Config!A191:B194,2,FALSE),"")</f>
        <v/>
      </c>
      <c r="C189" s="5" t="str">
        <f>IF(ISNA(VLOOKUP($A189,Table1[],2,FALSE)),"",VLOOKUP($A189,Table1[],2,FALSE))</f>
        <v/>
      </c>
      <c r="D189" s="5" t="str">
        <f>IF(ISNA(VLOOKUP($A189,Table1[],3,FALSE)),"",VLOOKUP($A189,Table1[],3,FALSE))</f>
        <v/>
      </c>
      <c r="E189" s="5" t="str">
        <f>IF(ISNA(VLOOKUP($A189,Table1[],2,FALSE)),"",VLOOKUP($A189,Table1[],4,FALSE))</f>
        <v/>
      </c>
    </row>
    <row r="190" spans="1:5" ht="20.5" customHeight="1" x14ac:dyDescent="0.35">
      <c r="A190" s="5"/>
      <c r="B190" s="6" t="str">
        <f>IF(C190&lt;&gt;"",VLOOKUP(C190,Config!A192:B195,2,FALSE),"")</f>
        <v/>
      </c>
      <c r="C190" s="5" t="str">
        <f>IF(ISNA(VLOOKUP($A190,Table1[],2,FALSE)),"",VLOOKUP($A190,Table1[],2,FALSE))</f>
        <v/>
      </c>
      <c r="D190" s="5" t="str">
        <f>IF(ISNA(VLOOKUP($A190,Table1[],3,FALSE)),"",VLOOKUP($A190,Table1[],3,FALSE))</f>
        <v/>
      </c>
      <c r="E190" s="5" t="str">
        <f>IF(ISNA(VLOOKUP($A190,Table1[],2,FALSE)),"",VLOOKUP($A190,Table1[],4,FALSE))</f>
        <v/>
      </c>
    </row>
    <row r="191" spans="1:5" ht="20.5" customHeight="1" x14ac:dyDescent="0.35">
      <c r="A191" s="5"/>
      <c r="B191" s="6" t="str">
        <f>IF(C191&lt;&gt;"",VLOOKUP(C191,Config!A193:B196,2,FALSE),"")</f>
        <v/>
      </c>
      <c r="C191" s="5" t="str">
        <f>IF(ISNA(VLOOKUP($A191,Table1[],2,FALSE)),"",VLOOKUP($A191,Table1[],2,FALSE))</f>
        <v/>
      </c>
      <c r="D191" s="5" t="str">
        <f>IF(ISNA(VLOOKUP($A191,Table1[],3,FALSE)),"",VLOOKUP($A191,Table1[],3,FALSE))</f>
        <v/>
      </c>
      <c r="E191" s="5" t="str">
        <f>IF(ISNA(VLOOKUP($A191,Table1[],2,FALSE)),"",VLOOKUP($A191,Table1[],4,FALSE))</f>
        <v/>
      </c>
    </row>
    <row r="192" spans="1:5" ht="20.5" customHeight="1" x14ac:dyDescent="0.35">
      <c r="A192" s="5"/>
      <c r="B192" s="6" t="str">
        <f>IF(C192&lt;&gt;"",VLOOKUP(C192,Config!A194:B197,2,FALSE),"")</f>
        <v/>
      </c>
      <c r="C192" s="5" t="str">
        <f>IF(ISNA(VLOOKUP($A192,Table1[],2,FALSE)),"",VLOOKUP($A192,Table1[],2,FALSE))</f>
        <v/>
      </c>
      <c r="D192" s="5" t="str">
        <f>IF(ISNA(VLOOKUP($A192,Table1[],3,FALSE)),"",VLOOKUP($A192,Table1[],3,FALSE))</f>
        <v/>
      </c>
      <c r="E192" s="5" t="str">
        <f>IF(ISNA(VLOOKUP($A192,Table1[],2,FALSE)),"",VLOOKUP($A192,Table1[],4,FALSE))</f>
        <v/>
      </c>
    </row>
    <row r="193" spans="1:5" ht="20.5" customHeight="1" x14ac:dyDescent="0.35">
      <c r="A193" s="5"/>
      <c r="B193" s="6" t="str">
        <f>IF(C193&lt;&gt;"",VLOOKUP(C193,Config!A195:B198,2,FALSE),"")</f>
        <v/>
      </c>
      <c r="C193" s="5" t="str">
        <f>IF(ISNA(VLOOKUP($A193,Table1[],2,FALSE)),"",VLOOKUP($A193,Table1[],2,FALSE))</f>
        <v/>
      </c>
      <c r="D193" s="5" t="str">
        <f>IF(ISNA(VLOOKUP($A193,Table1[],3,FALSE)),"",VLOOKUP($A193,Table1[],3,FALSE))</f>
        <v/>
      </c>
      <c r="E193" s="5" t="str">
        <f>IF(ISNA(VLOOKUP($A193,Table1[],2,FALSE)),"",VLOOKUP($A193,Table1[],4,FALSE))</f>
        <v/>
      </c>
    </row>
    <row r="194" spans="1:5" ht="20.5" customHeight="1" x14ac:dyDescent="0.35">
      <c r="A194" s="5"/>
      <c r="B194" s="6" t="str">
        <f>IF(C194&lt;&gt;"",VLOOKUP(C194,Config!A196:B199,2,FALSE),"")</f>
        <v/>
      </c>
      <c r="C194" s="5" t="str">
        <f>IF(ISNA(VLOOKUP($A194,Table1[],2,FALSE)),"",VLOOKUP($A194,Table1[],2,FALSE))</f>
        <v/>
      </c>
      <c r="D194" s="5" t="str">
        <f>IF(ISNA(VLOOKUP($A194,Table1[],3,FALSE)),"",VLOOKUP($A194,Table1[],3,FALSE))</f>
        <v/>
      </c>
      <c r="E194" s="5" t="str">
        <f>IF(ISNA(VLOOKUP($A194,Table1[],2,FALSE)),"",VLOOKUP($A194,Table1[],4,FALSE))</f>
        <v/>
      </c>
    </row>
    <row r="195" spans="1:5" ht="20.5" customHeight="1" x14ac:dyDescent="0.35">
      <c r="A195" s="5"/>
      <c r="B195" s="6" t="str">
        <f>IF(C195&lt;&gt;"",VLOOKUP(C195,Config!A197:B200,2,FALSE),"")</f>
        <v/>
      </c>
      <c r="C195" s="5" t="str">
        <f>IF(ISNA(VLOOKUP($A195,Table1[],2,FALSE)),"",VLOOKUP($A195,Table1[],2,FALSE))</f>
        <v/>
      </c>
      <c r="D195" s="5" t="str">
        <f>IF(ISNA(VLOOKUP($A195,Table1[],3,FALSE)),"",VLOOKUP($A195,Table1[],3,FALSE))</f>
        <v/>
      </c>
      <c r="E195" s="5" t="str">
        <f>IF(ISNA(VLOOKUP($A195,Table1[],2,FALSE)),"",VLOOKUP($A195,Table1[],4,FALSE))</f>
        <v/>
      </c>
    </row>
    <row r="196" spans="1:5" ht="20.5" customHeight="1" x14ac:dyDescent="0.35">
      <c r="A196" s="5"/>
      <c r="B196" s="6" t="str">
        <f>IF(C196&lt;&gt;"",VLOOKUP(C196,Config!A198:B201,2,FALSE),"")</f>
        <v/>
      </c>
      <c r="C196" s="5" t="str">
        <f>IF(ISNA(VLOOKUP($A196,Table1[],2,FALSE)),"",VLOOKUP($A196,Table1[],2,FALSE))</f>
        <v/>
      </c>
      <c r="D196" s="5" t="str">
        <f>IF(ISNA(VLOOKUP($A196,Table1[],3,FALSE)),"",VLOOKUP($A196,Table1[],3,FALSE))</f>
        <v/>
      </c>
      <c r="E196" s="5" t="str">
        <f>IF(ISNA(VLOOKUP($A196,Table1[],2,FALSE)),"",VLOOKUP($A196,Table1[],4,FALSE))</f>
        <v/>
      </c>
    </row>
    <row r="197" spans="1:5" ht="20.5" customHeight="1" x14ac:dyDescent="0.35">
      <c r="A197" s="5"/>
      <c r="B197" s="6" t="str">
        <f>IF(C197&lt;&gt;"",VLOOKUP(C197,Config!A199:B202,2,FALSE),"")</f>
        <v/>
      </c>
      <c r="C197" s="5" t="str">
        <f>IF(ISNA(VLOOKUP($A197,Table1[],2,FALSE)),"",VLOOKUP($A197,Table1[],2,FALSE))</f>
        <v/>
      </c>
      <c r="D197" s="5" t="str">
        <f>IF(ISNA(VLOOKUP($A197,Table1[],3,FALSE)),"",VLOOKUP($A197,Table1[],3,FALSE))</f>
        <v/>
      </c>
      <c r="E197" s="5" t="str">
        <f>IF(ISNA(VLOOKUP($A197,Table1[],2,FALSE)),"",VLOOKUP($A197,Table1[],4,FALSE))</f>
        <v/>
      </c>
    </row>
    <row r="198" spans="1:5" ht="20.5" customHeight="1" x14ac:dyDescent="0.35">
      <c r="A198" s="5"/>
      <c r="B198" s="6" t="str">
        <f>IF(C198&lt;&gt;"",VLOOKUP(C198,Config!A200:B203,2,FALSE),"")</f>
        <v/>
      </c>
      <c r="C198" s="5" t="str">
        <f>IF(ISNA(VLOOKUP($A198,Table1[],2,FALSE)),"",VLOOKUP($A198,Table1[],2,FALSE))</f>
        <v/>
      </c>
      <c r="D198" s="5" t="str">
        <f>IF(ISNA(VLOOKUP($A198,Table1[],3,FALSE)),"",VLOOKUP($A198,Table1[],3,FALSE))</f>
        <v/>
      </c>
      <c r="E198" s="5" t="str">
        <f>IF(ISNA(VLOOKUP($A198,Table1[],2,FALSE)),"",VLOOKUP($A198,Table1[],4,FALSE))</f>
        <v/>
      </c>
    </row>
    <row r="199" spans="1:5" ht="20.5" customHeight="1" x14ac:dyDescent="0.35">
      <c r="A199" s="5"/>
      <c r="B199" s="6" t="str">
        <f>IF(C199&lt;&gt;"",VLOOKUP(C199,Config!A201:B204,2,FALSE),"")</f>
        <v/>
      </c>
      <c r="C199" s="5" t="str">
        <f>IF(ISNA(VLOOKUP($A199,Table1[],2,FALSE)),"",VLOOKUP($A199,Table1[],2,FALSE))</f>
        <v/>
      </c>
      <c r="D199" s="5" t="str">
        <f>IF(ISNA(VLOOKUP($A199,Table1[],3,FALSE)),"",VLOOKUP($A199,Table1[],3,FALSE))</f>
        <v/>
      </c>
      <c r="E199" s="5" t="str">
        <f>IF(ISNA(VLOOKUP($A199,Table1[],2,FALSE)),"",VLOOKUP($A199,Table1[],4,FALSE))</f>
        <v/>
      </c>
    </row>
    <row r="200" spans="1:5" ht="20.5" customHeight="1" x14ac:dyDescent="0.35">
      <c r="A200" s="5"/>
      <c r="B200" s="6" t="str">
        <f>IF(C200&lt;&gt;"",VLOOKUP(C200,Config!A202:B205,2,FALSE),"")</f>
        <v/>
      </c>
      <c r="C200" s="5" t="str">
        <f>IF(ISNA(VLOOKUP($A200,Table1[],2,FALSE)),"",VLOOKUP($A200,Table1[],2,FALSE))</f>
        <v/>
      </c>
      <c r="D200" s="5" t="str">
        <f>IF(ISNA(VLOOKUP($A200,Table1[],3,FALSE)),"",VLOOKUP($A200,Table1[],3,FALSE))</f>
        <v/>
      </c>
      <c r="E200" s="5" t="str">
        <f>IF(ISNA(VLOOKUP($A200,Table1[],2,FALSE)),"",VLOOKUP($A200,Table1[],4,FALSE))</f>
        <v/>
      </c>
    </row>
    <row r="201" spans="1:5" ht="20.5" customHeight="1" x14ac:dyDescent="0.35">
      <c r="A201" s="5"/>
      <c r="B201" s="6" t="str">
        <f>IF(C201&lt;&gt;"",VLOOKUP(C201,Config!A203:B206,2,FALSE),"")</f>
        <v/>
      </c>
      <c r="C201" s="5" t="str">
        <f>IF(ISNA(VLOOKUP($A201,Table1[],2,FALSE)),"",VLOOKUP($A201,Table1[],2,FALSE))</f>
        <v/>
      </c>
      <c r="D201" s="5" t="str">
        <f>IF(ISNA(VLOOKUP($A201,Table1[],3,FALSE)),"",VLOOKUP($A201,Table1[],3,FALSE))</f>
        <v/>
      </c>
      <c r="E201" s="5" t="str">
        <f>IF(ISNA(VLOOKUP($A201,Table1[],2,FALSE)),"",VLOOKUP($A201,Table1[],4,FALSE))</f>
        <v/>
      </c>
    </row>
    <row r="202" spans="1:5" ht="20.5" customHeight="1" x14ac:dyDescent="0.35">
      <c r="A202" s="5"/>
      <c r="B202" s="6" t="str">
        <f>IF(C202&lt;&gt;"",VLOOKUP(C202,Config!A204:B207,2,FALSE),"")</f>
        <v/>
      </c>
      <c r="C202" s="5" t="str">
        <f>IF(ISNA(VLOOKUP($A202,Table1[],2,FALSE)),"",VLOOKUP($A202,Table1[],2,FALSE))</f>
        <v/>
      </c>
      <c r="D202" s="5" t="str">
        <f>IF(ISNA(VLOOKUP($A202,Table1[],3,FALSE)),"",VLOOKUP($A202,Table1[],3,FALSE))</f>
        <v/>
      </c>
      <c r="E202" s="5" t="str">
        <f>IF(ISNA(VLOOKUP($A202,Table1[],2,FALSE)),"",VLOOKUP($A202,Table1[],4,FALSE))</f>
        <v/>
      </c>
    </row>
    <row r="203" spans="1:5" ht="20.5" customHeight="1" x14ac:dyDescent="0.35">
      <c r="A203" s="5"/>
      <c r="B203" s="6" t="str">
        <f>IF(C203&lt;&gt;"",VLOOKUP(C203,Config!A205:B208,2,FALSE),"")</f>
        <v/>
      </c>
      <c r="C203" s="5" t="str">
        <f>IF(ISNA(VLOOKUP($A203,Table1[],2,FALSE)),"",VLOOKUP($A203,Table1[],2,FALSE))</f>
        <v/>
      </c>
      <c r="D203" s="5" t="str">
        <f>IF(ISNA(VLOOKUP($A203,Table1[],3,FALSE)),"",VLOOKUP($A203,Table1[],3,FALSE))</f>
        <v/>
      </c>
      <c r="E203" s="5" t="str">
        <f>IF(ISNA(VLOOKUP($A203,Table1[],2,FALSE)),"",VLOOKUP($A203,Table1[],4,FALSE))</f>
        <v/>
      </c>
    </row>
    <row r="204" spans="1:5" ht="20.5" customHeight="1" x14ac:dyDescent="0.35">
      <c r="A204" s="5"/>
      <c r="B204" s="6" t="str">
        <f>IF(C204&lt;&gt;"",VLOOKUP(C204,Config!A206:B209,2,FALSE),"")</f>
        <v/>
      </c>
      <c r="C204" s="5" t="str">
        <f>IF(ISNA(VLOOKUP($A204,Table1[],2,FALSE)),"",VLOOKUP($A204,Table1[],2,FALSE))</f>
        <v/>
      </c>
      <c r="D204" s="5" t="str">
        <f>IF(ISNA(VLOOKUP($A204,Table1[],3,FALSE)),"",VLOOKUP($A204,Table1[],3,FALSE))</f>
        <v/>
      </c>
      <c r="E204" s="5" t="str">
        <f>IF(ISNA(VLOOKUP($A204,Table1[],2,FALSE)),"",VLOOKUP($A204,Table1[],4,FALSE))</f>
        <v/>
      </c>
    </row>
    <row r="205" spans="1:5" ht="20.5" customHeight="1" x14ac:dyDescent="0.35">
      <c r="A205" s="5"/>
      <c r="B205" s="6" t="str">
        <f>IF(C205&lt;&gt;"",VLOOKUP(C205,Config!A207:B210,2,FALSE),"")</f>
        <v/>
      </c>
      <c r="C205" s="5" t="str">
        <f>IF(ISNA(VLOOKUP($A205,Table1[],2,FALSE)),"",VLOOKUP($A205,Table1[],2,FALSE))</f>
        <v/>
      </c>
      <c r="D205" s="5" t="str">
        <f>IF(ISNA(VLOOKUP($A205,Table1[],3,FALSE)),"",VLOOKUP($A205,Table1[],3,FALSE))</f>
        <v/>
      </c>
      <c r="E205" s="5" t="str">
        <f>IF(ISNA(VLOOKUP($A205,Table1[],2,FALSE)),"",VLOOKUP($A205,Table1[],4,FALSE))</f>
        <v/>
      </c>
    </row>
    <row r="206" spans="1:5" ht="20.5" customHeight="1" x14ac:dyDescent="0.35">
      <c r="A206" s="5"/>
      <c r="B206" s="6" t="str">
        <f>IF(C206&lt;&gt;"",VLOOKUP(C206,Config!A208:B211,2,FALSE),"")</f>
        <v/>
      </c>
      <c r="C206" s="5" t="str">
        <f>IF(ISNA(VLOOKUP($A206,Table1[],2,FALSE)),"",VLOOKUP($A206,Table1[],2,FALSE))</f>
        <v/>
      </c>
      <c r="D206" s="5" t="str">
        <f>IF(ISNA(VLOOKUP($A206,Table1[],3,FALSE)),"",VLOOKUP($A206,Table1[],3,FALSE))</f>
        <v/>
      </c>
      <c r="E206" s="5" t="str">
        <f>IF(ISNA(VLOOKUP($A206,Table1[],2,FALSE)),"",VLOOKUP($A206,Table1[],4,FALSE))</f>
        <v/>
      </c>
    </row>
    <row r="207" spans="1:5" ht="20.5" customHeight="1" x14ac:dyDescent="0.35">
      <c r="A207" s="5"/>
      <c r="B207" s="6" t="str">
        <f>IF(C207&lt;&gt;"",VLOOKUP(C207,Config!A209:B212,2,FALSE),"")</f>
        <v/>
      </c>
      <c r="C207" s="5" t="str">
        <f>IF(ISNA(VLOOKUP($A207,Table1[],2,FALSE)),"",VLOOKUP($A207,Table1[],2,FALSE))</f>
        <v/>
      </c>
      <c r="D207" s="5" t="str">
        <f>IF(ISNA(VLOOKUP($A207,Table1[],3,FALSE)),"",VLOOKUP($A207,Table1[],3,FALSE))</f>
        <v/>
      </c>
      <c r="E207" s="5" t="str">
        <f>IF(ISNA(VLOOKUP($A207,Table1[],2,FALSE)),"",VLOOKUP($A207,Table1[],4,FALSE))</f>
        <v/>
      </c>
    </row>
    <row r="208" spans="1:5" ht="20.5" customHeight="1" x14ac:dyDescent="0.35">
      <c r="A208" s="5"/>
      <c r="B208" s="6" t="str">
        <f>IF(C208&lt;&gt;"",VLOOKUP(C208,Config!A210:B213,2,FALSE),"")</f>
        <v/>
      </c>
      <c r="C208" s="5" t="str">
        <f>IF(ISNA(VLOOKUP($A208,Table1[],2,FALSE)),"",VLOOKUP($A208,Table1[],2,FALSE))</f>
        <v/>
      </c>
      <c r="D208" s="5" t="str">
        <f>IF(ISNA(VLOOKUP($A208,Table1[],3,FALSE)),"",VLOOKUP($A208,Table1[],3,FALSE))</f>
        <v/>
      </c>
      <c r="E208" s="5" t="str">
        <f>IF(ISNA(VLOOKUP($A208,Table1[],2,FALSE)),"",VLOOKUP($A208,Table1[],4,FALSE))</f>
        <v/>
      </c>
    </row>
    <row r="209" spans="1:5" ht="20.5" customHeight="1" x14ac:dyDescent="0.35">
      <c r="A209" s="5"/>
      <c r="B209" s="6" t="str">
        <f>IF(C209&lt;&gt;"",VLOOKUP(C209,Config!A211:B214,2,FALSE),"")</f>
        <v/>
      </c>
      <c r="C209" s="5" t="str">
        <f>IF(ISNA(VLOOKUP($A209,Table1[],2,FALSE)),"",VLOOKUP($A209,Table1[],2,FALSE))</f>
        <v/>
      </c>
      <c r="D209" s="5" t="str">
        <f>IF(ISNA(VLOOKUP($A209,Table1[],3,FALSE)),"",VLOOKUP($A209,Table1[],3,FALSE))</f>
        <v/>
      </c>
      <c r="E209" s="5" t="str">
        <f>IF(ISNA(VLOOKUP($A209,Table1[],2,FALSE)),"",VLOOKUP($A209,Table1[],4,FALSE))</f>
        <v/>
      </c>
    </row>
    <row r="210" spans="1:5" ht="20.5" customHeight="1" x14ac:dyDescent="0.35">
      <c r="A210" s="5"/>
      <c r="B210" s="6" t="str">
        <f>IF(C210&lt;&gt;"",VLOOKUP(C210,Config!A212:B215,2,FALSE),"")</f>
        <v/>
      </c>
      <c r="C210" s="5" t="str">
        <f>IF(ISNA(VLOOKUP($A210,Table1[],2,FALSE)),"",VLOOKUP($A210,Table1[],2,FALSE))</f>
        <v/>
      </c>
      <c r="D210" s="5" t="str">
        <f>IF(ISNA(VLOOKUP($A210,Table1[],3,FALSE)),"",VLOOKUP($A210,Table1[],3,FALSE))</f>
        <v/>
      </c>
      <c r="E210" s="5" t="str">
        <f>IF(ISNA(VLOOKUP($A210,Table1[],2,FALSE)),"",VLOOKUP($A210,Table1[],4,FALSE))</f>
        <v/>
      </c>
    </row>
    <row r="211" spans="1:5" ht="20.5" customHeight="1" x14ac:dyDescent="0.35">
      <c r="A211" s="5"/>
      <c r="B211" s="6" t="str">
        <f>IF(C211&lt;&gt;"",VLOOKUP(C211,Config!A213:B216,2,FALSE),"")</f>
        <v/>
      </c>
      <c r="C211" s="5" t="str">
        <f>IF(ISNA(VLOOKUP($A211,Table1[],2,FALSE)),"",VLOOKUP($A211,Table1[],2,FALSE))</f>
        <v/>
      </c>
      <c r="D211" s="5" t="str">
        <f>IF(ISNA(VLOOKUP($A211,Table1[],3,FALSE)),"",VLOOKUP($A211,Table1[],3,FALSE))</f>
        <v/>
      </c>
      <c r="E211" s="5" t="str">
        <f>IF(ISNA(VLOOKUP($A211,Table1[],2,FALSE)),"",VLOOKUP($A211,Table1[],4,FALSE))</f>
        <v/>
      </c>
    </row>
    <row r="212" spans="1:5" ht="20.5" customHeight="1" x14ac:dyDescent="0.35">
      <c r="A212" s="5"/>
      <c r="B212" s="6" t="str">
        <f>IF(C212&lt;&gt;"",VLOOKUP(C212,Config!A214:B217,2,FALSE),"")</f>
        <v/>
      </c>
      <c r="C212" s="5" t="str">
        <f>IF(ISNA(VLOOKUP($A212,Table1[],2,FALSE)),"",VLOOKUP($A212,Table1[],2,FALSE))</f>
        <v/>
      </c>
      <c r="D212" s="5" t="str">
        <f>IF(ISNA(VLOOKUP($A212,Table1[],3,FALSE)),"",VLOOKUP($A212,Table1[],3,FALSE))</f>
        <v/>
      </c>
      <c r="E212" s="5" t="str">
        <f>IF(ISNA(VLOOKUP($A212,Table1[],2,FALSE)),"",VLOOKUP($A212,Table1[],4,FALSE))</f>
        <v/>
      </c>
    </row>
    <row r="213" spans="1:5" ht="20.5" customHeight="1" x14ac:dyDescent="0.35">
      <c r="A213" s="5"/>
      <c r="B213" s="6" t="str">
        <f>IF(C213&lt;&gt;"",VLOOKUP(C213,Config!A215:B218,2,FALSE),"")</f>
        <v/>
      </c>
      <c r="C213" s="5" t="str">
        <f>IF(ISNA(VLOOKUP($A213,Table1[],2,FALSE)),"",VLOOKUP($A213,Table1[],2,FALSE))</f>
        <v/>
      </c>
      <c r="D213" s="5" t="str">
        <f>IF(ISNA(VLOOKUP($A213,Table1[],3,FALSE)),"",VLOOKUP($A213,Table1[],3,FALSE))</f>
        <v/>
      </c>
      <c r="E213" s="5" t="str">
        <f>IF(ISNA(VLOOKUP($A213,Table1[],2,FALSE)),"",VLOOKUP($A213,Table1[],4,FALSE))</f>
        <v/>
      </c>
    </row>
    <row r="214" spans="1:5" ht="20.5" customHeight="1" x14ac:dyDescent="0.35">
      <c r="A214" s="5"/>
      <c r="B214" s="6" t="str">
        <f>IF(C214&lt;&gt;"",VLOOKUP(C214,Config!A216:B219,2,FALSE),"")</f>
        <v/>
      </c>
      <c r="C214" s="5" t="str">
        <f>IF(ISNA(VLOOKUP($A214,Table1[],2,FALSE)),"",VLOOKUP($A214,Table1[],2,FALSE))</f>
        <v/>
      </c>
      <c r="D214" s="5" t="str">
        <f>IF(ISNA(VLOOKUP($A214,Table1[],3,FALSE)),"",VLOOKUP($A214,Table1[],3,FALSE))</f>
        <v/>
      </c>
      <c r="E214" s="5" t="str">
        <f>IF(ISNA(VLOOKUP($A214,Table1[],2,FALSE)),"",VLOOKUP($A214,Table1[],4,FALSE))</f>
        <v/>
      </c>
    </row>
    <row r="215" spans="1:5" ht="20.5" customHeight="1" x14ac:dyDescent="0.35">
      <c r="A215" s="5"/>
      <c r="B215" s="6" t="str">
        <f>IF(C215&lt;&gt;"",VLOOKUP(C215,Config!A217:B220,2,FALSE),"")</f>
        <v/>
      </c>
      <c r="C215" s="5" t="str">
        <f>IF(ISNA(VLOOKUP($A215,Table1[],2,FALSE)),"",VLOOKUP($A215,Table1[],2,FALSE))</f>
        <v/>
      </c>
      <c r="D215" s="5" t="str">
        <f>IF(ISNA(VLOOKUP($A215,Table1[],3,FALSE)),"",VLOOKUP($A215,Table1[],3,FALSE))</f>
        <v/>
      </c>
      <c r="E215" s="5" t="str">
        <f>IF(ISNA(VLOOKUP($A215,Table1[],2,FALSE)),"",VLOOKUP($A215,Table1[],4,FALSE))</f>
        <v/>
      </c>
    </row>
    <row r="216" spans="1:5" ht="20.5" customHeight="1" x14ac:dyDescent="0.35">
      <c r="A216" s="5"/>
      <c r="B216" s="6" t="str">
        <f>IF(C216&lt;&gt;"",VLOOKUP(C216,Config!A218:B221,2,FALSE),"")</f>
        <v/>
      </c>
      <c r="C216" s="5" t="str">
        <f>IF(ISNA(VLOOKUP($A216,Table1[],2,FALSE)),"",VLOOKUP($A216,Table1[],2,FALSE))</f>
        <v/>
      </c>
      <c r="D216" s="5" t="str">
        <f>IF(ISNA(VLOOKUP($A216,Table1[],3,FALSE)),"",VLOOKUP($A216,Table1[],3,FALSE))</f>
        <v/>
      </c>
      <c r="E216" s="5" t="str">
        <f>IF(ISNA(VLOOKUP($A216,Table1[],2,FALSE)),"",VLOOKUP($A216,Table1[],4,FALSE))</f>
        <v/>
      </c>
    </row>
    <row r="217" spans="1:5" ht="20.5" customHeight="1" x14ac:dyDescent="0.35">
      <c r="A217" s="5"/>
      <c r="B217" s="6" t="str">
        <f>IF(C217&lt;&gt;"",VLOOKUP(C217,Config!A219:B222,2,FALSE),"")</f>
        <v/>
      </c>
      <c r="C217" s="5" t="str">
        <f>IF(ISNA(VLOOKUP($A217,Table1[],2,FALSE)),"",VLOOKUP($A217,Table1[],2,FALSE))</f>
        <v/>
      </c>
      <c r="D217" s="5" t="str">
        <f>IF(ISNA(VLOOKUP($A217,Table1[],3,FALSE)),"",VLOOKUP($A217,Table1[],3,FALSE))</f>
        <v/>
      </c>
      <c r="E217" s="5" t="str">
        <f>IF(ISNA(VLOOKUP($A217,Table1[],2,FALSE)),"",VLOOKUP($A217,Table1[],4,FALSE))</f>
        <v/>
      </c>
    </row>
    <row r="218" spans="1:5" ht="20.5" customHeight="1" x14ac:dyDescent="0.35">
      <c r="A218" s="5"/>
      <c r="B218" s="6" t="str">
        <f>IF(C218&lt;&gt;"",VLOOKUP(C218,Config!A220:B223,2,FALSE),"")</f>
        <v/>
      </c>
      <c r="C218" s="5" t="str">
        <f>IF(ISNA(VLOOKUP($A218,Table1[],2,FALSE)),"",VLOOKUP($A218,Table1[],2,FALSE))</f>
        <v/>
      </c>
      <c r="D218" s="5" t="str">
        <f>IF(ISNA(VLOOKUP($A218,Table1[],3,FALSE)),"",VLOOKUP($A218,Table1[],3,FALSE))</f>
        <v/>
      </c>
      <c r="E218" s="5" t="str">
        <f>IF(ISNA(VLOOKUP($A218,Table1[],2,FALSE)),"",VLOOKUP($A218,Table1[],4,FALSE))</f>
        <v/>
      </c>
    </row>
    <row r="219" spans="1:5" ht="20.5" customHeight="1" x14ac:dyDescent="0.35">
      <c r="A219" s="5"/>
      <c r="B219" s="6" t="str">
        <f>IF(C219&lt;&gt;"",VLOOKUP(C219,Config!A221:B224,2,FALSE),"")</f>
        <v/>
      </c>
      <c r="C219" s="5" t="str">
        <f>IF(ISNA(VLOOKUP($A219,Table1[],2,FALSE)),"",VLOOKUP($A219,Table1[],2,FALSE))</f>
        <v/>
      </c>
      <c r="D219" s="5" t="str">
        <f>IF(ISNA(VLOOKUP($A219,Table1[],3,FALSE)),"",VLOOKUP($A219,Table1[],3,FALSE))</f>
        <v/>
      </c>
      <c r="E219" s="5" t="str">
        <f>IF(ISNA(VLOOKUP($A219,Table1[],2,FALSE)),"",VLOOKUP($A219,Table1[],4,FALSE))</f>
        <v/>
      </c>
    </row>
    <row r="220" spans="1:5" ht="20.5" customHeight="1" x14ac:dyDescent="0.35">
      <c r="A220" s="5"/>
      <c r="B220" s="6" t="str">
        <f>IF(C220&lt;&gt;"",VLOOKUP(C220,Config!A222:B225,2,FALSE),"")</f>
        <v/>
      </c>
      <c r="C220" s="5" t="str">
        <f>IF(ISNA(VLOOKUP($A220,Table1[],2,FALSE)),"",VLOOKUP($A220,Table1[],2,FALSE))</f>
        <v/>
      </c>
      <c r="D220" s="5" t="str">
        <f>IF(ISNA(VLOOKUP($A220,Table1[],3,FALSE)),"",VLOOKUP($A220,Table1[],3,FALSE))</f>
        <v/>
      </c>
      <c r="E220" s="5" t="str">
        <f>IF(ISNA(VLOOKUP($A220,Table1[],2,FALSE)),"",VLOOKUP($A220,Table1[],4,FALSE))</f>
        <v/>
      </c>
    </row>
    <row r="221" spans="1:5" ht="20.5" customHeight="1" x14ac:dyDescent="0.35">
      <c r="A221" s="5"/>
      <c r="B221" s="6" t="str">
        <f>IF(C221&lt;&gt;"",VLOOKUP(C221,Config!A223:B226,2,FALSE),"")</f>
        <v/>
      </c>
      <c r="C221" s="5" t="str">
        <f>IF(ISNA(VLOOKUP($A221,Table1[],2,FALSE)),"",VLOOKUP($A221,Table1[],2,FALSE))</f>
        <v/>
      </c>
      <c r="D221" s="5" t="str">
        <f>IF(ISNA(VLOOKUP($A221,Table1[],3,FALSE)),"",VLOOKUP($A221,Table1[],3,FALSE))</f>
        <v/>
      </c>
      <c r="E221" s="5" t="str">
        <f>IF(ISNA(VLOOKUP($A221,Table1[],2,FALSE)),"",VLOOKUP($A221,Table1[],4,FALSE))</f>
        <v/>
      </c>
    </row>
    <row r="222" spans="1:5" ht="20.5" customHeight="1" x14ac:dyDescent="0.35">
      <c r="A222" s="5"/>
      <c r="B222" s="6" t="str">
        <f>IF(C222&lt;&gt;"",VLOOKUP(C222,Config!A224:B227,2,FALSE),"")</f>
        <v/>
      </c>
      <c r="C222" s="5" t="str">
        <f>IF(ISNA(VLOOKUP($A222,Table1[],2,FALSE)),"",VLOOKUP($A222,Table1[],2,FALSE))</f>
        <v/>
      </c>
      <c r="D222" s="5" t="str">
        <f>IF(ISNA(VLOOKUP($A222,Table1[],3,FALSE)),"",VLOOKUP($A222,Table1[],3,FALSE))</f>
        <v/>
      </c>
      <c r="E222" s="5" t="str">
        <f>IF(ISNA(VLOOKUP($A222,Table1[],2,FALSE)),"",VLOOKUP($A222,Table1[],4,FALSE))</f>
        <v/>
      </c>
    </row>
    <row r="223" spans="1:5" ht="20.5" customHeight="1" x14ac:dyDescent="0.35">
      <c r="A223" s="5"/>
      <c r="B223" s="6" t="str">
        <f>IF(C223&lt;&gt;"",VLOOKUP(C223,Config!A225:B228,2,FALSE),"")</f>
        <v/>
      </c>
      <c r="C223" s="5" t="str">
        <f>IF(ISNA(VLOOKUP($A223,Table1[],2,FALSE)),"",VLOOKUP($A223,Table1[],2,FALSE))</f>
        <v/>
      </c>
      <c r="D223" s="5" t="str">
        <f>IF(ISNA(VLOOKUP($A223,Table1[],3,FALSE)),"",VLOOKUP($A223,Table1[],3,FALSE))</f>
        <v/>
      </c>
      <c r="E223" s="5" t="str">
        <f>IF(ISNA(VLOOKUP($A223,Table1[],2,FALSE)),"",VLOOKUP($A223,Table1[],4,FALSE))</f>
        <v/>
      </c>
    </row>
    <row r="224" spans="1:5" ht="20.5" customHeight="1" x14ac:dyDescent="0.35">
      <c r="A224" s="5"/>
      <c r="B224" s="6" t="str">
        <f>IF(C224&lt;&gt;"",VLOOKUP(C224,Config!A226:B229,2,FALSE),"")</f>
        <v/>
      </c>
      <c r="C224" s="5" t="str">
        <f>IF(ISNA(VLOOKUP($A224,Table1[],2,FALSE)),"",VLOOKUP($A224,Table1[],2,FALSE))</f>
        <v/>
      </c>
      <c r="D224" s="5" t="str">
        <f>IF(ISNA(VLOOKUP($A224,Table1[],3,FALSE)),"",VLOOKUP($A224,Table1[],3,FALSE))</f>
        <v/>
      </c>
      <c r="E224" s="5" t="str">
        <f>IF(ISNA(VLOOKUP($A224,Table1[],2,FALSE)),"",VLOOKUP($A224,Table1[],4,FALSE))</f>
        <v/>
      </c>
    </row>
    <row r="225" spans="1:5" ht="20.5" customHeight="1" x14ac:dyDescent="0.35">
      <c r="A225" s="5"/>
      <c r="B225" s="6" t="str">
        <f>IF(C225&lt;&gt;"",VLOOKUP(C225,Config!A227:B230,2,FALSE),"")</f>
        <v/>
      </c>
      <c r="C225" s="5" t="str">
        <f>IF(ISNA(VLOOKUP($A225,Table1[],2,FALSE)),"",VLOOKUP($A225,Table1[],2,FALSE))</f>
        <v/>
      </c>
      <c r="D225" s="5" t="str">
        <f>IF(ISNA(VLOOKUP($A225,Table1[],3,FALSE)),"",VLOOKUP($A225,Table1[],3,FALSE))</f>
        <v/>
      </c>
      <c r="E225" s="5" t="str">
        <f>IF(ISNA(VLOOKUP($A225,Table1[],2,FALSE)),"",VLOOKUP($A225,Table1[],4,FALSE))</f>
        <v/>
      </c>
    </row>
    <row r="226" spans="1:5" ht="20.5" customHeight="1" x14ac:dyDescent="0.35">
      <c r="A226" s="5"/>
      <c r="B226" s="6" t="str">
        <f>IF(C226&lt;&gt;"",VLOOKUP(C226,Config!A228:B231,2,FALSE),"")</f>
        <v/>
      </c>
      <c r="C226" s="5" t="str">
        <f>IF(ISNA(VLOOKUP($A226,Table1[],2,FALSE)),"",VLOOKUP($A226,Table1[],2,FALSE))</f>
        <v/>
      </c>
      <c r="D226" s="5" t="str">
        <f>IF(ISNA(VLOOKUP($A226,Table1[],3,FALSE)),"",VLOOKUP($A226,Table1[],3,FALSE))</f>
        <v/>
      </c>
      <c r="E226" s="5" t="str">
        <f>IF(ISNA(VLOOKUP($A226,Table1[],2,FALSE)),"",VLOOKUP($A226,Table1[],4,FALSE))</f>
        <v/>
      </c>
    </row>
    <row r="227" spans="1:5" ht="20.5" customHeight="1" x14ac:dyDescent="0.35">
      <c r="A227" s="5"/>
      <c r="B227" s="6" t="str">
        <f>IF(C227&lt;&gt;"",VLOOKUP(C227,Config!A229:B232,2,FALSE),"")</f>
        <v/>
      </c>
      <c r="C227" s="5" t="str">
        <f>IF(ISNA(VLOOKUP($A227,Table1[],2,FALSE)),"",VLOOKUP($A227,Table1[],2,FALSE))</f>
        <v/>
      </c>
      <c r="D227" s="5" t="str">
        <f>IF(ISNA(VLOOKUP($A227,Table1[],3,FALSE)),"",VLOOKUP($A227,Table1[],3,FALSE))</f>
        <v/>
      </c>
      <c r="E227" s="5" t="str">
        <f>IF(ISNA(VLOOKUP($A227,Table1[],2,FALSE)),"",VLOOKUP($A227,Table1[],4,FALSE))</f>
        <v/>
      </c>
    </row>
    <row r="228" spans="1:5" ht="20.5" customHeight="1" x14ac:dyDescent="0.35">
      <c r="A228" s="5"/>
      <c r="B228" s="6" t="str">
        <f>IF(C228&lt;&gt;"",VLOOKUP(C228,Config!A230:B233,2,FALSE),"")</f>
        <v/>
      </c>
      <c r="C228" s="5" t="str">
        <f>IF(ISNA(VLOOKUP($A228,Table1[],2,FALSE)),"",VLOOKUP($A228,Table1[],2,FALSE))</f>
        <v/>
      </c>
      <c r="D228" s="5" t="str">
        <f>IF(ISNA(VLOOKUP($A228,Table1[],3,FALSE)),"",VLOOKUP($A228,Table1[],3,FALSE))</f>
        <v/>
      </c>
      <c r="E228" s="5" t="str">
        <f>IF(ISNA(VLOOKUP($A228,Table1[],2,FALSE)),"",VLOOKUP($A228,Table1[],4,FALSE))</f>
        <v/>
      </c>
    </row>
    <row r="229" spans="1:5" ht="20.5" customHeight="1" x14ac:dyDescent="0.35">
      <c r="A229" s="5"/>
      <c r="B229" s="6" t="str">
        <f>IF(C229&lt;&gt;"",VLOOKUP(C229,Config!A231:B234,2,FALSE),"")</f>
        <v/>
      </c>
      <c r="C229" s="5" t="str">
        <f>IF(ISNA(VLOOKUP($A229,Table1[],2,FALSE)),"",VLOOKUP($A229,Table1[],2,FALSE))</f>
        <v/>
      </c>
      <c r="D229" s="5" t="str">
        <f>IF(ISNA(VLOOKUP($A229,Table1[],3,FALSE)),"",VLOOKUP($A229,Table1[],3,FALSE))</f>
        <v/>
      </c>
      <c r="E229" s="5" t="str">
        <f>IF(ISNA(VLOOKUP($A229,Table1[],2,FALSE)),"",VLOOKUP($A229,Table1[],4,FALSE))</f>
        <v/>
      </c>
    </row>
    <row r="230" spans="1:5" ht="20.5" customHeight="1" x14ac:dyDescent="0.35">
      <c r="A230" s="5"/>
      <c r="B230" s="6" t="str">
        <f>IF(C230&lt;&gt;"",VLOOKUP(C230,Config!A232:B235,2,FALSE),"")</f>
        <v/>
      </c>
      <c r="C230" s="5" t="str">
        <f>IF(ISNA(VLOOKUP($A230,Table1[],2,FALSE)),"",VLOOKUP($A230,Table1[],2,FALSE))</f>
        <v/>
      </c>
      <c r="D230" s="5" t="str">
        <f>IF(ISNA(VLOOKUP($A230,Table1[],3,FALSE)),"",VLOOKUP($A230,Table1[],3,FALSE))</f>
        <v/>
      </c>
      <c r="E230" s="5" t="str">
        <f>IF(ISNA(VLOOKUP($A230,Table1[],2,FALSE)),"",VLOOKUP($A230,Table1[],4,FALSE))</f>
        <v/>
      </c>
    </row>
    <row r="231" spans="1:5" ht="20.5" customHeight="1" x14ac:dyDescent="0.35">
      <c r="A231" s="5"/>
      <c r="B231" s="6" t="str">
        <f>IF(C231&lt;&gt;"",VLOOKUP(C231,Config!A233:B236,2,FALSE),"")</f>
        <v/>
      </c>
      <c r="C231" s="5" t="str">
        <f>IF(ISNA(VLOOKUP($A231,Table1[],2,FALSE)),"",VLOOKUP($A231,Table1[],2,FALSE))</f>
        <v/>
      </c>
      <c r="D231" s="5" t="str">
        <f>IF(ISNA(VLOOKUP($A231,Table1[],3,FALSE)),"",VLOOKUP($A231,Table1[],3,FALSE))</f>
        <v/>
      </c>
      <c r="E231" s="5" t="str">
        <f>IF(ISNA(VLOOKUP($A231,Table1[],2,FALSE)),"",VLOOKUP($A231,Table1[],4,FALSE))</f>
        <v/>
      </c>
    </row>
    <row r="232" spans="1:5" ht="20.5" customHeight="1" x14ac:dyDescent="0.35">
      <c r="A232" s="5"/>
      <c r="B232" s="6" t="str">
        <f>IF(C232&lt;&gt;"",VLOOKUP(C232,Config!A234:B237,2,FALSE),"")</f>
        <v/>
      </c>
      <c r="C232" s="5" t="str">
        <f>IF(ISNA(VLOOKUP($A232,Table1[],2,FALSE)),"",VLOOKUP($A232,Table1[],2,FALSE))</f>
        <v/>
      </c>
      <c r="D232" s="5" t="str">
        <f>IF(ISNA(VLOOKUP($A232,Table1[],3,FALSE)),"",VLOOKUP($A232,Table1[],3,FALSE))</f>
        <v/>
      </c>
      <c r="E232" s="5" t="str">
        <f>IF(ISNA(VLOOKUP($A232,Table1[],2,FALSE)),"",VLOOKUP($A232,Table1[],4,FALSE))</f>
        <v/>
      </c>
    </row>
    <row r="233" spans="1:5" ht="20.5" customHeight="1" x14ac:dyDescent="0.35">
      <c r="A233" s="5"/>
      <c r="B233" s="6" t="str">
        <f>IF(C233&lt;&gt;"",VLOOKUP(C233,Config!A235:B238,2,FALSE),"")</f>
        <v/>
      </c>
      <c r="C233" s="5" t="str">
        <f>IF(ISNA(VLOOKUP($A233,Table1[],2,FALSE)),"",VLOOKUP($A233,Table1[],2,FALSE))</f>
        <v/>
      </c>
      <c r="D233" s="5" t="str">
        <f>IF(ISNA(VLOOKUP($A233,Table1[],3,FALSE)),"",VLOOKUP($A233,Table1[],3,FALSE))</f>
        <v/>
      </c>
      <c r="E233" s="5" t="str">
        <f>IF(ISNA(VLOOKUP($A233,Table1[],2,FALSE)),"",VLOOKUP($A233,Table1[],4,FALSE))</f>
        <v/>
      </c>
    </row>
    <row r="234" spans="1:5" ht="20.5" customHeight="1" x14ac:dyDescent="0.35">
      <c r="A234" s="5"/>
      <c r="B234" s="6" t="str">
        <f>IF(C234&lt;&gt;"",VLOOKUP(C234,Config!A236:B239,2,FALSE),"")</f>
        <v/>
      </c>
      <c r="C234" s="5" t="str">
        <f>IF(ISNA(VLOOKUP($A234,Table1[],2,FALSE)),"",VLOOKUP($A234,Table1[],2,FALSE))</f>
        <v/>
      </c>
      <c r="D234" s="5" t="str">
        <f>IF(ISNA(VLOOKUP($A234,Table1[],3,FALSE)),"",VLOOKUP($A234,Table1[],3,FALSE))</f>
        <v/>
      </c>
      <c r="E234" s="5" t="str">
        <f>IF(ISNA(VLOOKUP($A234,Table1[],2,FALSE)),"",VLOOKUP($A234,Table1[],4,FALSE))</f>
        <v/>
      </c>
    </row>
    <row r="235" spans="1:5" ht="20.5" customHeight="1" x14ac:dyDescent="0.35">
      <c r="A235" s="5"/>
      <c r="B235" s="6" t="str">
        <f>IF(C235&lt;&gt;"",VLOOKUP(C235,Config!A237:B240,2,FALSE),"")</f>
        <v/>
      </c>
      <c r="C235" s="5" t="str">
        <f>IF(ISNA(VLOOKUP($A235,Table1[],2,FALSE)),"",VLOOKUP($A235,Table1[],2,FALSE))</f>
        <v/>
      </c>
      <c r="D235" s="5" t="str">
        <f>IF(ISNA(VLOOKUP($A235,Table1[],3,FALSE)),"",VLOOKUP($A235,Table1[],3,FALSE))</f>
        <v/>
      </c>
      <c r="E235" s="5" t="str">
        <f>IF(ISNA(VLOOKUP($A235,Table1[],2,FALSE)),"",VLOOKUP($A235,Table1[],4,FALSE))</f>
        <v/>
      </c>
    </row>
    <row r="236" spans="1:5" ht="20.5" customHeight="1" x14ac:dyDescent="0.35">
      <c r="A236" s="5"/>
      <c r="B236" s="6" t="str">
        <f>IF(C236&lt;&gt;"",VLOOKUP(C236,Config!A238:B241,2,FALSE),"")</f>
        <v/>
      </c>
      <c r="C236" s="5" t="str">
        <f>IF(ISNA(VLOOKUP($A236,Table1[],2,FALSE)),"",VLOOKUP($A236,Table1[],2,FALSE))</f>
        <v/>
      </c>
      <c r="D236" s="5" t="str">
        <f>IF(ISNA(VLOOKUP($A236,Table1[],3,FALSE)),"",VLOOKUP($A236,Table1[],3,FALSE))</f>
        <v/>
      </c>
      <c r="E236" s="5" t="str">
        <f>IF(ISNA(VLOOKUP($A236,Table1[],2,FALSE)),"",VLOOKUP($A236,Table1[],4,FALSE))</f>
        <v/>
      </c>
    </row>
    <row r="237" spans="1:5" ht="20.5" customHeight="1" x14ac:dyDescent="0.35">
      <c r="A237" s="5"/>
      <c r="B237" s="6" t="str">
        <f>IF(C237&lt;&gt;"",VLOOKUP(C237,Config!A239:B242,2,FALSE),"")</f>
        <v/>
      </c>
      <c r="C237" s="5" t="str">
        <f>IF(ISNA(VLOOKUP($A237,Table1[],2,FALSE)),"",VLOOKUP($A237,Table1[],2,FALSE))</f>
        <v/>
      </c>
      <c r="D237" s="5" t="str">
        <f>IF(ISNA(VLOOKUP($A237,Table1[],3,FALSE)),"",VLOOKUP($A237,Table1[],3,FALSE))</f>
        <v/>
      </c>
      <c r="E237" s="5" t="str">
        <f>IF(ISNA(VLOOKUP($A237,Table1[],2,FALSE)),"",VLOOKUP($A237,Table1[],4,FALSE))</f>
        <v/>
      </c>
    </row>
    <row r="238" spans="1:5" ht="20.5" customHeight="1" x14ac:dyDescent="0.35">
      <c r="A238" s="5"/>
      <c r="B238" s="6" t="str">
        <f>IF(C238&lt;&gt;"",VLOOKUP(C238,Config!A240:B243,2,FALSE),"")</f>
        <v/>
      </c>
      <c r="C238" s="5" t="str">
        <f>IF(ISNA(VLOOKUP($A238,Table1[],2,FALSE)),"",VLOOKUP($A238,Table1[],2,FALSE))</f>
        <v/>
      </c>
      <c r="D238" s="5" t="str">
        <f>IF(ISNA(VLOOKUP($A238,Table1[],3,FALSE)),"",VLOOKUP($A238,Table1[],3,FALSE))</f>
        <v/>
      </c>
      <c r="E238" s="5" t="str">
        <f>IF(ISNA(VLOOKUP($A238,Table1[],2,FALSE)),"",VLOOKUP($A238,Table1[],4,FALSE))</f>
        <v/>
      </c>
    </row>
    <row r="239" spans="1:5" ht="20.5" customHeight="1" x14ac:dyDescent="0.35">
      <c r="A239" s="5"/>
      <c r="B239" s="6" t="str">
        <f>IF(C239&lt;&gt;"",VLOOKUP(C239,Config!A241:B244,2,FALSE),"")</f>
        <v/>
      </c>
      <c r="C239" s="5" t="str">
        <f>IF(ISNA(VLOOKUP($A239,Table1[],2,FALSE)),"",VLOOKUP($A239,Table1[],2,FALSE))</f>
        <v/>
      </c>
      <c r="D239" s="5" t="str">
        <f>IF(ISNA(VLOOKUP($A239,Table1[],3,FALSE)),"",VLOOKUP($A239,Table1[],3,FALSE))</f>
        <v/>
      </c>
      <c r="E239" s="5" t="str">
        <f>IF(ISNA(VLOOKUP($A239,Table1[],2,FALSE)),"",VLOOKUP($A239,Table1[],4,FALSE))</f>
        <v/>
      </c>
    </row>
    <row r="240" spans="1:5" ht="20.5" customHeight="1" x14ac:dyDescent="0.35">
      <c r="A240" s="5"/>
      <c r="B240" s="6" t="str">
        <f>IF(C240&lt;&gt;"",VLOOKUP(C240,Config!A242:B245,2,FALSE),"")</f>
        <v/>
      </c>
      <c r="C240" s="5" t="str">
        <f>IF(ISNA(VLOOKUP($A240,Table1[],2,FALSE)),"",VLOOKUP($A240,Table1[],2,FALSE))</f>
        <v/>
      </c>
      <c r="D240" s="5" t="str">
        <f>IF(ISNA(VLOOKUP($A240,Table1[],3,FALSE)),"",VLOOKUP($A240,Table1[],3,FALSE))</f>
        <v/>
      </c>
      <c r="E240" s="5" t="str">
        <f>IF(ISNA(VLOOKUP($A240,Table1[],2,FALSE)),"",VLOOKUP($A240,Table1[],4,FALSE))</f>
        <v/>
      </c>
    </row>
    <row r="241" spans="1:5" ht="20.5" customHeight="1" x14ac:dyDescent="0.35">
      <c r="A241" s="5"/>
      <c r="B241" s="6" t="str">
        <f>IF(C241&lt;&gt;"",VLOOKUP(C241,Config!A243:B246,2,FALSE),"")</f>
        <v/>
      </c>
      <c r="C241" s="5" t="str">
        <f>IF(ISNA(VLOOKUP($A241,Table1[],2,FALSE)),"",VLOOKUP($A241,Table1[],2,FALSE))</f>
        <v/>
      </c>
      <c r="D241" s="5" t="str">
        <f>IF(ISNA(VLOOKUP($A241,Table1[],3,FALSE)),"",VLOOKUP($A241,Table1[],3,FALSE))</f>
        <v/>
      </c>
      <c r="E241" s="5" t="str">
        <f>IF(ISNA(VLOOKUP($A241,Table1[],2,FALSE)),"",VLOOKUP($A241,Table1[],4,FALSE))</f>
        <v/>
      </c>
    </row>
    <row r="242" spans="1:5" ht="20.5" customHeight="1" x14ac:dyDescent="0.35">
      <c r="A242" s="5"/>
      <c r="B242" s="6" t="str">
        <f>IF(C242&lt;&gt;"",VLOOKUP(C242,Config!A244:B247,2,FALSE),"")</f>
        <v/>
      </c>
      <c r="C242" s="5" t="str">
        <f>IF(ISNA(VLOOKUP($A242,Table1[],2,FALSE)),"",VLOOKUP($A242,Table1[],2,FALSE))</f>
        <v/>
      </c>
      <c r="D242" s="5" t="str">
        <f>IF(ISNA(VLOOKUP($A242,Table1[],3,FALSE)),"",VLOOKUP($A242,Table1[],3,FALSE))</f>
        <v/>
      </c>
      <c r="E242" s="5" t="str">
        <f>IF(ISNA(VLOOKUP($A242,Table1[],2,FALSE)),"",VLOOKUP($A242,Table1[],4,FALSE))</f>
        <v/>
      </c>
    </row>
    <row r="243" spans="1:5" ht="20.5" customHeight="1" x14ac:dyDescent="0.35">
      <c r="A243" s="5"/>
      <c r="B243" s="6" t="str">
        <f>IF(C243&lt;&gt;"",VLOOKUP(C243,Config!A245:B248,2,FALSE),"")</f>
        <v/>
      </c>
      <c r="C243" s="5" t="str">
        <f>IF(ISNA(VLOOKUP($A243,Table1[],2,FALSE)),"",VLOOKUP($A243,Table1[],2,FALSE))</f>
        <v/>
      </c>
      <c r="D243" s="5" t="str">
        <f>IF(ISNA(VLOOKUP($A243,Table1[],3,FALSE)),"",VLOOKUP($A243,Table1[],3,FALSE))</f>
        <v/>
      </c>
      <c r="E243" s="5" t="str">
        <f>IF(ISNA(VLOOKUP($A243,Table1[],2,FALSE)),"",VLOOKUP($A243,Table1[],4,FALSE))</f>
        <v/>
      </c>
    </row>
    <row r="244" spans="1:5" ht="20.5" customHeight="1" x14ac:dyDescent="0.35">
      <c r="A244" s="5"/>
      <c r="B244" s="6" t="str">
        <f>IF(C244&lt;&gt;"",VLOOKUP(C244,Config!A246:B249,2,FALSE),"")</f>
        <v/>
      </c>
      <c r="C244" s="5" t="str">
        <f>IF(ISNA(VLOOKUP($A244,Table1[],2,FALSE)),"",VLOOKUP($A244,Table1[],2,FALSE))</f>
        <v/>
      </c>
      <c r="D244" s="5" t="str">
        <f>IF(ISNA(VLOOKUP($A244,Table1[],3,FALSE)),"",VLOOKUP($A244,Table1[],3,FALSE))</f>
        <v/>
      </c>
      <c r="E244" s="5" t="str">
        <f>IF(ISNA(VLOOKUP($A244,Table1[],2,FALSE)),"",VLOOKUP($A244,Table1[],4,FALSE))</f>
        <v/>
      </c>
    </row>
    <row r="245" spans="1:5" ht="20.5" customHeight="1" x14ac:dyDescent="0.35">
      <c r="A245" s="5"/>
      <c r="B245" s="6" t="str">
        <f>IF(C245&lt;&gt;"",VLOOKUP(C245,Config!A247:B250,2,FALSE),"")</f>
        <v/>
      </c>
      <c r="C245" s="5" t="str">
        <f>IF(ISNA(VLOOKUP($A245,Table1[],2,FALSE)),"",VLOOKUP($A245,Table1[],2,FALSE))</f>
        <v/>
      </c>
      <c r="D245" s="5" t="str">
        <f>IF(ISNA(VLOOKUP($A245,Table1[],3,FALSE)),"",VLOOKUP($A245,Table1[],3,FALSE))</f>
        <v/>
      </c>
      <c r="E245" s="5" t="str">
        <f>IF(ISNA(VLOOKUP($A245,Table1[],2,FALSE)),"",VLOOKUP($A245,Table1[],4,FALSE))</f>
        <v/>
      </c>
    </row>
    <row r="246" spans="1:5" ht="20.5" customHeight="1" x14ac:dyDescent="0.35">
      <c r="A246" s="5"/>
      <c r="B246" s="6" t="str">
        <f>IF(C246&lt;&gt;"",VLOOKUP(C246,Config!A248:B251,2,FALSE),"")</f>
        <v/>
      </c>
      <c r="C246" s="5" t="str">
        <f>IF(ISNA(VLOOKUP($A246,Table1[],2,FALSE)),"",VLOOKUP($A246,Table1[],2,FALSE))</f>
        <v/>
      </c>
      <c r="D246" s="5" t="str">
        <f>IF(ISNA(VLOOKUP($A246,Table1[],3,FALSE)),"",VLOOKUP($A246,Table1[],3,FALSE))</f>
        <v/>
      </c>
      <c r="E246" s="5" t="str">
        <f>IF(ISNA(VLOOKUP($A246,Table1[],2,FALSE)),"",VLOOKUP($A246,Table1[],4,FALSE))</f>
        <v/>
      </c>
    </row>
    <row r="247" spans="1:5" ht="20.5" customHeight="1" x14ac:dyDescent="0.35">
      <c r="A247" s="5"/>
      <c r="B247" s="6" t="str">
        <f>IF(C247&lt;&gt;"",VLOOKUP(C247,Config!A249:B252,2,FALSE),"")</f>
        <v/>
      </c>
      <c r="C247" s="5" t="str">
        <f>IF(ISNA(VLOOKUP($A247,Table1[],2,FALSE)),"",VLOOKUP($A247,Table1[],2,FALSE))</f>
        <v/>
      </c>
      <c r="D247" s="5" t="str">
        <f>IF(ISNA(VLOOKUP($A247,Table1[],3,FALSE)),"",VLOOKUP($A247,Table1[],3,FALSE))</f>
        <v/>
      </c>
      <c r="E247" s="5" t="str">
        <f>IF(ISNA(VLOOKUP($A247,Table1[],2,FALSE)),"",VLOOKUP($A247,Table1[],4,FALSE))</f>
        <v/>
      </c>
    </row>
    <row r="248" spans="1:5" ht="20.5" customHeight="1" x14ac:dyDescent="0.35">
      <c r="A248" s="5"/>
      <c r="B248" s="6" t="str">
        <f>IF(C248&lt;&gt;"",VLOOKUP(C248,Config!A250:B253,2,FALSE),"")</f>
        <v/>
      </c>
      <c r="C248" s="5" t="str">
        <f>IF(ISNA(VLOOKUP($A248,Table1[],2,FALSE)),"",VLOOKUP($A248,Table1[],2,FALSE))</f>
        <v/>
      </c>
      <c r="D248" s="5" t="str">
        <f>IF(ISNA(VLOOKUP($A248,Table1[],3,FALSE)),"",VLOOKUP($A248,Table1[],3,FALSE))</f>
        <v/>
      </c>
      <c r="E248" s="5" t="str">
        <f>IF(ISNA(VLOOKUP($A248,Table1[],2,FALSE)),"",VLOOKUP($A248,Table1[],4,FALSE))</f>
        <v/>
      </c>
    </row>
    <row r="249" spans="1:5" ht="20.5" customHeight="1" x14ac:dyDescent="0.35">
      <c r="A249" s="5"/>
      <c r="B249" s="6" t="str">
        <f>IF(C249&lt;&gt;"",VLOOKUP(C249,Config!A251:B254,2,FALSE),"")</f>
        <v/>
      </c>
      <c r="C249" s="5" t="str">
        <f>IF(ISNA(VLOOKUP($A249,Table1[],2,FALSE)),"",VLOOKUP($A249,Table1[],2,FALSE))</f>
        <v/>
      </c>
      <c r="D249" s="5" t="str">
        <f>IF(ISNA(VLOOKUP($A249,Table1[],3,FALSE)),"",VLOOKUP($A249,Table1[],3,FALSE))</f>
        <v/>
      </c>
      <c r="E249" s="5" t="str">
        <f>IF(ISNA(VLOOKUP($A249,Table1[],2,FALSE)),"",VLOOKUP($A249,Table1[],4,FALSE))</f>
        <v/>
      </c>
    </row>
    <row r="250" spans="1:5" ht="20.5" customHeight="1" x14ac:dyDescent="0.35">
      <c r="A250" s="5"/>
      <c r="B250" s="6" t="str">
        <f>IF(C250&lt;&gt;"",VLOOKUP(C250,Config!A252:B255,2,FALSE),"")</f>
        <v/>
      </c>
      <c r="C250" s="5" t="str">
        <f>IF(ISNA(VLOOKUP($A250,Table1[],2,FALSE)),"",VLOOKUP($A250,Table1[],2,FALSE))</f>
        <v/>
      </c>
      <c r="D250" s="5" t="str">
        <f>IF(ISNA(VLOOKUP($A250,Table1[],3,FALSE)),"",VLOOKUP($A250,Table1[],3,FALSE))</f>
        <v/>
      </c>
      <c r="E250" s="5" t="str">
        <f>IF(ISNA(VLOOKUP($A250,Table1[],2,FALSE)),"",VLOOKUP($A250,Table1[],4,FALSE))</f>
        <v/>
      </c>
    </row>
    <row r="251" spans="1:5" ht="20.5" customHeight="1" x14ac:dyDescent="0.35">
      <c r="A251" s="5"/>
      <c r="B251" s="6" t="str">
        <f>IF(C251&lt;&gt;"",VLOOKUP(C251,Config!A253:B256,2,FALSE),"")</f>
        <v/>
      </c>
      <c r="C251" s="5" t="str">
        <f>IF(ISNA(VLOOKUP($A251,Table1[],2,FALSE)),"",VLOOKUP($A251,Table1[],2,FALSE))</f>
        <v/>
      </c>
      <c r="D251" s="5" t="str">
        <f>IF(ISNA(VLOOKUP($A251,Table1[],3,FALSE)),"",VLOOKUP($A251,Table1[],3,FALSE))</f>
        <v/>
      </c>
      <c r="E251" s="5" t="str">
        <f>IF(ISNA(VLOOKUP($A251,Table1[],2,FALSE)),"",VLOOKUP($A251,Table1[],4,FALSE))</f>
        <v/>
      </c>
    </row>
    <row r="252" spans="1:5" ht="20.5" customHeight="1" x14ac:dyDescent="0.35">
      <c r="A252" s="5"/>
      <c r="B252" s="6" t="str">
        <f>IF(C252&lt;&gt;"",VLOOKUP(C252,Config!A254:B257,2,FALSE),"")</f>
        <v/>
      </c>
      <c r="C252" s="5" t="str">
        <f>IF(ISNA(VLOOKUP($A252,Table1[],2,FALSE)),"",VLOOKUP($A252,Table1[],2,FALSE))</f>
        <v/>
      </c>
      <c r="D252" s="5" t="str">
        <f>IF(ISNA(VLOOKUP($A252,Table1[],3,FALSE)),"",VLOOKUP($A252,Table1[],3,FALSE))</f>
        <v/>
      </c>
      <c r="E252" s="5" t="str">
        <f>IF(ISNA(VLOOKUP($A252,Table1[],2,FALSE)),"",VLOOKUP($A252,Table1[],4,FALSE))</f>
        <v/>
      </c>
    </row>
    <row r="253" spans="1:5" ht="20.5" customHeight="1" x14ac:dyDescent="0.35">
      <c r="A253" s="5"/>
      <c r="B253" s="6" t="str">
        <f>IF(C253&lt;&gt;"",VLOOKUP(C253,Config!A255:B258,2,FALSE),"")</f>
        <v/>
      </c>
      <c r="C253" s="5" t="str">
        <f>IF(ISNA(VLOOKUP($A253,Table1[],2,FALSE)),"",VLOOKUP($A253,Table1[],2,FALSE))</f>
        <v/>
      </c>
      <c r="D253" s="5" t="str">
        <f>IF(ISNA(VLOOKUP($A253,Table1[],3,FALSE)),"",VLOOKUP($A253,Table1[],3,FALSE))</f>
        <v/>
      </c>
      <c r="E253" s="5" t="str">
        <f>IF(ISNA(VLOOKUP($A253,Table1[],2,FALSE)),"",VLOOKUP($A253,Table1[],4,FALSE))</f>
        <v/>
      </c>
    </row>
    <row r="254" spans="1:5" ht="20.5" customHeight="1" x14ac:dyDescent="0.35">
      <c r="A254" s="5"/>
      <c r="B254" s="6" t="str">
        <f>IF(C254&lt;&gt;"",VLOOKUP(C254,Config!A256:B259,2,FALSE),"")</f>
        <v/>
      </c>
      <c r="C254" s="5" t="str">
        <f>IF(ISNA(VLOOKUP($A254,Table1[],2,FALSE)),"",VLOOKUP($A254,Table1[],2,FALSE))</f>
        <v/>
      </c>
      <c r="D254" s="5" t="str">
        <f>IF(ISNA(VLOOKUP($A254,Table1[],3,FALSE)),"",VLOOKUP($A254,Table1[],3,FALSE))</f>
        <v/>
      </c>
      <c r="E254" s="5" t="str">
        <f>IF(ISNA(VLOOKUP($A254,Table1[],2,FALSE)),"",VLOOKUP($A254,Table1[],4,FALSE))</f>
        <v/>
      </c>
    </row>
    <row r="255" spans="1:5" ht="20.5" customHeight="1" x14ac:dyDescent="0.35">
      <c r="A255" s="5"/>
      <c r="B255" s="6" t="str">
        <f>IF(C255&lt;&gt;"",VLOOKUP(C255,Config!A257:B260,2,FALSE),"")</f>
        <v/>
      </c>
      <c r="C255" s="5" t="str">
        <f>IF(ISNA(VLOOKUP($A255,Table1[],2,FALSE)),"",VLOOKUP($A255,Table1[],2,FALSE))</f>
        <v/>
      </c>
      <c r="D255" s="5" t="str">
        <f>IF(ISNA(VLOOKUP($A255,Table1[],3,FALSE)),"",VLOOKUP($A255,Table1[],3,FALSE))</f>
        <v/>
      </c>
      <c r="E255" s="5" t="str">
        <f>IF(ISNA(VLOOKUP($A255,Table1[],2,FALSE)),"",VLOOKUP($A255,Table1[],4,FALSE))</f>
        <v/>
      </c>
    </row>
    <row r="256" spans="1:5" ht="20.5" customHeight="1" x14ac:dyDescent="0.35">
      <c r="A256" s="5"/>
      <c r="B256" s="6" t="str">
        <f>IF(C256&lt;&gt;"",VLOOKUP(C256,Config!A258:B261,2,FALSE),"")</f>
        <v/>
      </c>
      <c r="C256" s="5" t="str">
        <f>IF(ISNA(VLOOKUP($A256,Table1[],2,FALSE)),"",VLOOKUP($A256,Table1[],2,FALSE))</f>
        <v/>
      </c>
      <c r="D256" s="5" t="str">
        <f>IF(ISNA(VLOOKUP($A256,Table1[],3,FALSE)),"",VLOOKUP($A256,Table1[],3,FALSE))</f>
        <v/>
      </c>
      <c r="E256" s="5" t="str">
        <f>IF(ISNA(VLOOKUP($A256,Table1[],2,FALSE)),"",VLOOKUP($A256,Table1[],4,FALSE))</f>
        <v/>
      </c>
    </row>
    <row r="257" spans="1:5" ht="20.5" customHeight="1" x14ac:dyDescent="0.35">
      <c r="A257" s="5"/>
      <c r="B257" s="6" t="str">
        <f>IF(C257&lt;&gt;"",VLOOKUP(C257,Config!A259:B262,2,FALSE),"")</f>
        <v/>
      </c>
      <c r="C257" s="5" t="str">
        <f>IF(ISNA(VLOOKUP($A257,Table1[],2,FALSE)),"",VLOOKUP($A257,Table1[],2,FALSE))</f>
        <v/>
      </c>
      <c r="D257" s="5" t="str">
        <f>IF(ISNA(VLOOKUP($A257,Table1[],3,FALSE)),"",VLOOKUP($A257,Table1[],3,FALSE))</f>
        <v/>
      </c>
      <c r="E257" s="5" t="str">
        <f>IF(ISNA(VLOOKUP($A257,Table1[],2,FALSE)),"",VLOOKUP($A257,Table1[],4,FALSE))</f>
        <v/>
      </c>
    </row>
    <row r="258" spans="1:5" ht="20.5" customHeight="1" x14ac:dyDescent="0.35">
      <c r="A258" s="5"/>
      <c r="B258" s="6" t="str">
        <f>IF(C258&lt;&gt;"",VLOOKUP(C258,Config!A260:B263,2,FALSE),"")</f>
        <v/>
      </c>
      <c r="C258" s="5" t="str">
        <f>IF(ISNA(VLOOKUP($A258,Table1[],2,FALSE)),"",VLOOKUP($A258,Table1[],2,FALSE))</f>
        <v/>
      </c>
      <c r="D258" s="5" t="str">
        <f>IF(ISNA(VLOOKUP($A258,Table1[],3,FALSE)),"",VLOOKUP($A258,Table1[],3,FALSE))</f>
        <v/>
      </c>
      <c r="E258" s="5" t="str">
        <f>IF(ISNA(VLOOKUP($A258,Table1[],2,FALSE)),"",VLOOKUP($A258,Table1[],4,FALSE))</f>
        <v/>
      </c>
    </row>
    <row r="259" spans="1:5" ht="20.5" customHeight="1" x14ac:dyDescent="0.35">
      <c r="A259" s="5"/>
      <c r="B259" s="6" t="str">
        <f>IF(C259&lt;&gt;"",VLOOKUP(C259,Config!A261:B264,2,FALSE),"")</f>
        <v/>
      </c>
      <c r="C259" s="5" t="str">
        <f>IF(ISNA(VLOOKUP($A259,Table1[],2,FALSE)),"",VLOOKUP($A259,Table1[],2,FALSE))</f>
        <v/>
      </c>
      <c r="D259" s="5" t="str">
        <f>IF(ISNA(VLOOKUP($A259,Table1[],3,FALSE)),"",VLOOKUP($A259,Table1[],3,FALSE))</f>
        <v/>
      </c>
      <c r="E259" s="5" t="str">
        <f>IF(ISNA(VLOOKUP($A259,Table1[],2,FALSE)),"",VLOOKUP($A259,Table1[],4,FALSE))</f>
        <v/>
      </c>
    </row>
    <row r="260" spans="1:5" ht="20.5" customHeight="1" x14ac:dyDescent="0.35">
      <c r="A260" s="5"/>
      <c r="B260" s="6" t="str">
        <f>IF(C260&lt;&gt;"",VLOOKUP(C260,Config!A262:B265,2,FALSE),"")</f>
        <v/>
      </c>
      <c r="C260" s="5" t="str">
        <f>IF(ISNA(VLOOKUP($A260,Table1[],2,FALSE)),"",VLOOKUP($A260,Table1[],2,FALSE))</f>
        <v/>
      </c>
      <c r="D260" s="5" t="str">
        <f>IF(ISNA(VLOOKUP($A260,Table1[],3,FALSE)),"",VLOOKUP($A260,Table1[],3,FALSE))</f>
        <v/>
      </c>
      <c r="E260" s="5" t="str">
        <f>IF(ISNA(VLOOKUP($A260,Table1[],2,FALSE)),"",VLOOKUP($A260,Table1[],4,FALSE))</f>
        <v/>
      </c>
    </row>
    <row r="261" spans="1:5" ht="20.5" customHeight="1" x14ac:dyDescent="0.35">
      <c r="A261" s="5"/>
      <c r="B261" s="6" t="str">
        <f>IF(C261&lt;&gt;"",VLOOKUP(C261,Config!A263:B266,2,FALSE),"")</f>
        <v/>
      </c>
      <c r="C261" s="5" t="str">
        <f>IF(ISNA(VLOOKUP($A261,Table1[],2,FALSE)),"",VLOOKUP($A261,Table1[],2,FALSE))</f>
        <v/>
      </c>
      <c r="D261" s="5" t="str">
        <f>IF(ISNA(VLOOKUP($A261,Table1[],3,FALSE)),"",VLOOKUP($A261,Table1[],3,FALSE))</f>
        <v/>
      </c>
      <c r="E261" s="5" t="str">
        <f>IF(ISNA(VLOOKUP($A261,Table1[],2,FALSE)),"",VLOOKUP($A261,Table1[],4,FALSE))</f>
        <v/>
      </c>
    </row>
    <row r="262" spans="1:5" ht="20.5" customHeight="1" x14ac:dyDescent="0.35">
      <c r="A262" s="5"/>
      <c r="B262" s="6" t="str">
        <f>IF(C262&lt;&gt;"",VLOOKUP(C262,Config!A264:B267,2,FALSE),"")</f>
        <v/>
      </c>
      <c r="C262" s="5" t="str">
        <f>IF(ISNA(VLOOKUP($A262,Table1[],2,FALSE)),"",VLOOKUP($A262,Table1[],2,FALSE))</f>
        <v/>
      </c>
      <c r="D262" s="5" t="str">
        <f>IF(ISNA(VLOOKUP($A262,Table1[],3,FALSE)),"",VLOOKUP($A262,Table1[],3,FALSE))</f>
        <v/>
      </c>
      <c r="E262" s="5" t="str">
        <f>IF(ISNA(VLOOKUP($A262,Table1[],2,FALSE)),"",VLOOKUP($A262,Table1[],4,FALSE))</f>
        <v/>
      </c>
    </row>
    <row r="263" spans="1:5" ht="20.5" customHeight="1" x14ac:dyDescent="0.35">
      <c r="A263" s="5"/>
      <c r="B263" s="6" t="str">
        <f>IF(C263&lt;&gt;"",VLOOKUP(C263,Config!A265:B268,2,FALSE),"")</f>
        <v/>
      </c>
      <c r="C263" s="5" t="str">
        <f>IF(ISNA(VLOOKUP($A263,Table1[],2,FALSE)),"",VLOOKUP($A263,Table1[],2,FALSE))</f>
        <v/>
      </c>
      <c r="D263" s="5" t="str">
        <f>IF(ISNA(VLOOKUP($A263,Table1[],3,FALSE)),"",VLOOKUP($A263,Table1[],3,FALSE))</f>
        <v/>
      </c>
      <c r="E263" s="5" t="str">
        <f>IF(ISNA(VLOOKUP($A263,Table1[],2,FALSE)),"",VLOOKUP($A263,Table1[],4,FALSE))</f>
        <v/>
      </c>
    </row>
    <row r="264" spans="1:5" ht="20.5" customHeight="1" x14ac:dyDescent="0.35">
      <c r="A264" s="5"/>
      <c r="B264" s="6" t="str">
        <f>IF(C264&lt;&gt;"",VLOOKUP(C264,Config!A266:B269,2,FALSE),"")</f>
        <v/>
      </c>
      <c r="C264" s="5" t="str">
        <f>IF(ISNA(VLOOKUP($A264,Table1[],2,FALSE)),"",VLOOKUP($A264,Table1[],2,FALSE))</f>
        <v/>
      </c>
      <c r="D264" s="5" t="str">
        <f>IF(ISNA(VLOOKUP($A264,Table1[],3,FALSE)),"",VLOOKUP($A264,Table1[],3,FALSE))</f>
        <v/>
      </c>
      <c r="E264" s="5" t="str">
        <f>IF(ISNA(VLOOKUP($A264,Table1[],2,FALSE)),"",VLOOKUP($A264,Table1[],4,FALSE))</f>
        <v/>
      </c>
    </row>
    <row r="265" spans="1:5" ht="20.5" customHeight="1" x14ac:dyDescent="0.35">
      <c r="A265" s="5"/>
      <c r="B265" s="6" t="str">
        <f>IF(C265&lt;&gt;"",VLOOKUP(C265,Config!A267:B270,2,FALSE),"")</f>
        <v/>
      </c>
      <c r="C265" s="5" t="str">
        <f>IF(ISNA(VLOOKUP($A265,Table1[],2,FALSE)),"",VLOOKUP($A265,Table1[],2,FALSE))</f>
        <v/>
      </c>
      <c r="D265" s="5" t="str">
        <f>IF(ISNA(VLOOKUP($A265,Table1[],3,FALSE)),"",VLOOKUP($A265,Table1[],3,FALSE))</f>
        <v/>
      </c>
      <c r="E265" s="5" t="str">
        <f>IF(ISNA(VLOOKUP($A265,Table1[],2,FALSE)),"",VLOOKUP($A265,Table1[],4,FALSE))</f>
        <v/>
      </c>
    </row>
    <row r="266" spans="1:5" ht="20.5" customHeight="1" x14ac:dyDescent="0.35">
      <c r="A266" s="5"/>
      <c r="B266" s="6" t="str">
        <f>IF(C266&lt;&gt;"",VLOOKUP(C266,Config!A268:B271,2,FALSE),"")</f>
        <v/>
      </c>
      <c r="C266" s="5" t="str">
        <f>IF(ISNA(VLOOKUP($A266,Table1[],2,FALSE)),"",VLOOKUP($A266,Table1[],2,FALSE))</f>
        <v/>
      </c>
      <c r="D266" s="5" t="str">
        <f>IF(ISNA(VLOOKUP($A266,Table1[],3,FALSE)),"",VLOOKUP($A266,Table1[],3,FALSE))</f>
        <v/>
      </c>
      <c r="E266" s="5" t="str">
        <f>IF(ISNA(VLOOKUP($A266,Table1[],2,FALSE)),"",VLOOKUP($A266,Table1[],4,FALSE))</f>
        <v/>
      </c>
    </row>
    <row r="267" spans="1:5" ht="20.5" customHeight="1" x14ac:dyDescent="0.35">
      <c r="A267" s="5"/>
      <c r="B267" s="6" t="str">
        <f>IF(C267&lt;&gt;"",VLOOKUP(C267,Config!A269:B272,2,FALSE),"")</f>
        <v/>
      </c>
      <c r="C267" s="5" t="str">
        <f>IF(ISNA(VLOOKUP($A267,Table1[],2,FALSE)),"",VLOOKUP($A267,Table1[],2,FALSE))</f>
        <v/>
      </c>
      <c r="D267" s="5" t="str">
        <f>IF(ISNA(VLOOKUP($A267,Table1[],3,FALSE)),"",VLOOKUP($A267,Table1[],3,FALSE))</f>
        <v/>
      </c>
      <c r="E267" s="5" t="str">
        <f>IF(ISNA(VLOOKUP($A267,Table1[],2,FALSE)),"",VLOOKUP($A267,Table1[],4,FALSE))</f>
        <v/>
      </c>
    </row>
    <row r="268" spans="1:5" ht="20.5" customHeight="1" x14ac:dyDescent="0.35">
      <c r="A268" s="5"/>
      <c r="B268" s="6" t="str">
        <f>IF(C268&lt;&gt;"",VLOOKUP(C268,Config!A270:B273,2,FALSE),"")</f>
        <v/>
      </c>
      <c r="C268" s="5" t="str">
        <f>IF(ISNA(VLOOKUP($A268,Table1[],2,FALSE)),"",VLOOKUP($A268,Table1[],2,FALSE))</f>
        <v/>
      </c>
      <c r="D268" s="5" t="str">
        <f>IF(ISNA(VLOOKUP($A268,Table1[],3,FALSE)),"",VLOOKUP($A268,Table1[],3,FALSE))</f>
        <v/>
      </c>
      <c r="E268" s="5" t="str">
        <f>IF(ISNA(VLOOKUP($A268,Table1[],2,FALSE)),"",VLOOKUP($A268,Table1[],4,FALSE))</f>
        <v/>
      </c>
    </row>
    <row r="269" spans="1:5" ht="20.5" customHeight="1" x14ac:dyDescent="0.35">
      <c r="A269" s="5"/>
      <c r="B269" s="6" t="str">
        <f>IF(C269&lt;&gt;"",VLOOKUP(C269,Config!A271:B274,2,FALSE),"")</f>
        <v/>
      </c>
      <c r="C269" s="5" t="str">
        <f>IF(ISNA(VLOOKUP($A269,Table1[],2,FALSE)),"",VLOOKUP($A269,Table1[],2,FALSE))</f>
        <v/>
      </c>
      <c r="D269" s="5" t="str">
        <f>IF(ISNA(VLOOKUP($A269,Table1[],3,FALSE)),"",VLOOKUP($A269,Table1[],3,FALSE))</f>
        <v/>
      </c>
      <c r="E269" s="5" t="str">
        <f>IF(ISNA(VLOOKUP($A269,Table1[],2,FALSE)),"",VLOOKUP($A269,Table1[],4,FALSE))</f>
        <v/>
      </c>
    </row>
    <row r="270" spans="1:5" ht="20.5" customHeight="1" x14ac:dyDescent="0.35"/>
    <row r="271" spans="1:5" ht="20.5" customHeight="1" x14ac:dyDescent="0.35"/>
    <row r="272" spans="1:5" ht="20.5" customHeight="1" x14ac:dyDescent="0.35"/>
    <row r="273" ht="20.5" customHeight="1" x14ac:dyDescent="0.35"/>
    <row r="274" ht="20.5" customHeight="1" x14ac:dyDescent="0.35"/>
    <row r="275" ht="20.5" customHeight="1" x14ac:dyDescent="0.35"/>
    <row r="276" ht="20.5" customHeight="1" x14ac:dyDescent="0.35"/>
    <row r="277" ht="20.5" customHeight="1" x14ac:dyDescent="0.35"/>
    <row r="278" ht="20.5" customHeight="1" x14ac:dyDescent="0.35"/>
    <row r="279" ht="20.5" customHeight="1" x14ac:dyDescent="0.35"/>
    <row r="280" ht="20.5" customHeight="1" x14ac:dyDescent="0.35"/>
    <row r="281" ht="20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2EC0-50D5-4B77-A1FD-46B4134C0CC4}">
  <dimension ref="A1:E869"/>
  <sheetViews>
    <sheetView topLeftCell="A649" workbookViewId="0">
      <selection activeCell="A704" sqref="A704"/>
    </sheetView>
  </sheetViews>
  <sheetFormatPr defaultRowHeight="20" customHeight="1" x14ac:dyDescent="0.35"/>
  <cols>
    <col min="1" max="1" width="21.453125" style="1" customWidth="1"/>
    <col min="2" max="2" width="18.81640625" style="1" bestFit="1" customWidth="1"/>
    <col min="3" max="3" width="10.7265625" style="1" customWidth="1"/>
    <col min="4" max="4" width="9.90625" style="1" customWidth="1"/>
    <col min="5" max="5" width="10.08984375" customWidth="1"/>
  </cols>
  <sheetData>
    <row r="1" spans="1:5" ht="20" customHeight="1" x14ac:dyDescent="0.45">
      <c r="A1" s="12" t="s">
        <v>332</v>
      </c>
      <c r="B1" s="12" t="s">
        <v>331</v>
      </c>
      <c r="C1" s="12" t="s">
        <v>333</v>
      </c>
      <c r="D1" s="12" t="s">
        <v>334</v>
      </c>
      <c r="E1" s="19" t="s">
        <v>923</v>
      </c>
    </row>
    <row r="2" spans="1:5" ht="20" customHeight="1" x14ac:dyDescent="0.35">
      <c r="A2" s="1" t="s">
        <v>48</v>
      </c>
      <c r="B2" s="1" t="s">
        <v>47</v>
      </c>
      <c r="C2" s="1">
        <v>44</v>
      </c>
      <c r="D2" s="1">
        <v>15.9</v>
      </c>
    </row>
    <row r="3" spans="1:5" ht="20" customHeight="1" x14ac:dyDescent="0.35">
      <c r="A3" s="1" t="s">
        <v>49</v>
      </c>
      <c r="B3" s="1" t="s">
        <v>47</v>
      </c>
      <c r="C3" s="1">
        <v>43.6</v>
      </c>
      <c r="D3" s="1">
        <v>15.8</v>
      </c>
    </row>
    <row r="4" spans="1:5" ht="20" customHeight="1" x14ac:dyDescent="0.35">
      <c r="A4" s="1" t="s">
        <v>50</v>
      </c>
      <c r="B4" s="1" t="s">
        <v>47</v>
      </c>
      <c r="C4" s="1">
        <v>43.3</v>
      </c>
      <c r="D4" s="1">
        <v>15.8</v>
      </c>
    </row>
    <row r="5" spans="1:5" ht="20" customHeight="1" x14ac:dyDescent="0.35">
      <c r="A5" s="1" t="s">
        <v>51</v>
      </c>
      <c r="B5" s="1" t="s">
        <v>47</v>
      </c>
      <c r="C5" s="1">
        <v>42.9</v>
      </c>
      <c r="D5" s="1">
        <v>15.8</v>
      </c>
    </row>
    <row r="6" spans="1:5" ht="20" customHeight="1" x14ac:dyDescent="0.35">
      <c r="A6" s="1" t="s">
        <v>52</v>
      </c>
      <c r="B6" s="1" t="s">
        <v>47</v>
      </c>
      <c r="C6" s="1">
        <v>43.6</v>
      </c>
      <c r="D6" s="1">
        <v>16.899999999999999</v>
      </c>
    </row>
    <row r="7" spans="1:5" ht="20" customHeight="1" x14ac:dyDescent="0.35">
      <c r="A7" s="1" t="s">
        <v>53</v>
      </c>
      <c r="B7" s="1" t="s">
        <v>47</v>
      </c>
      <c r="C7" s="1">
        <v>43</v>
      </c>
      <c r="D7" s="1">
        <v>16.7</v>
      </c>
    </row>
    <row r="8" spans="1:5" ht="20" customHeight="1" x14ac:dyDescent="0.35">
      <c r="A8" s="1" t="s">
        <v>54</v>
      </c>
      <c r="B8" s="1" t="s">
        <v>47</v>
      </c>
      <c r="C8" s="1">
        <v>42.1</v>
      </c>
      <c r="D8" s="1">
        <v>16.399999999999999</v>
      </c>
    </row>
    <row r="9" spans="1:5" ht="20" customHeight="1" x14ac:dyDescent="0.35">
      <c r="A9" s="1" t="s">
        <v>55</v>
      </c>
      <c r="B9" s="1" t="s">
        <v>47</v>
      </c>
      <c r="C9" s="1">
        <v>41.3</v>
      </c>
      <c r="D9" s="1">
        <v>16.2</v>
      </c>
    </row>
    <row r="10" spans="1:5" ht="20" customHeight="1" x14ac:dyDescent="0.35">
      <c r="A10" s="1" t="s">
        <v>56</v>
      </c>
      <c r="B10" s="1" t="s">
        <v>47</v>
      </c>
      <c r="C10" s="1">
        <v>41</v>
      </c>
      <c r="D10" s="1">
        <v>16.100000000000001</v>
      </c>
    </row>
    <row r="11" spans="1:5" ht="20" customHeight="1" x14ac:dyDescent="0.35">
      <c r="A11" s="1" t="s">
        <v>57</v>
      </c>
      <c r="B11" s="1" t="s">
        <v>47</v>
      </c>
      <c r="C11" s="1">
        <v>40.6</v>
      </c>
      <c r="D11" s="1">
        <v>16.100000000000001</v>
      </c>
    </row>
    <row r="12" spans="1:5" ht="20" customHeight="1" x14ac:dyDescent="0.35">
      <c r="A12" s="1" t="s">
        <v>58</v>
      </c>
      <c r="B12" s="1" t="s">
        <v>47</v>
      </c>
      <c r="C12" s="1">
        <v>40.6</v>
      </c>
      <c r="D12" s="1">
        <v>16</v>
      </c>
    </row>
    <row r="13" spans="1:5" ht="20" customHeight="1" x14ac:dyDescent="0.35">
      <c r="A13" s="1" t="s">
        <v>59</v>
      </c>
      <c r="B13" s="1" t="s">
        <v>47</v>
      </c>
      <c r="C13" s="1">
        <v>40.200000000000003</v>
      </c>
      <c r="D13" s="1">
        <v>15.9</v>
      </c>
    </row>
    <row r="14" spans="1:5" ht="20" customHeight="1" x14ac:dyDescent="0.35">
      <c r="A14" s="1" t="s">
        <v>60</v>
      </c>
      <c r="B14" s="1" t="s">
        <v>47</v>
      </c>
      <c r="C14" s="1">
        <v>39.799999999999997</v>
      </c>
      <c r="D14" s="1">
        <v>15.8</v>
      </c>
    </row>
    <row r="15" spans="1:5" ht="20" customHeight="1" x14ac:dyDescent="0.35">
      <c r="A15" s="1" t="s">
        <v>61</v>
      </c>
      <c r="B15" s="1" t="s">
        <v>47</v>
      </c>
      <c r="C15" s="1">
        <v>39.700000000000003</v>
      </c>
      <c r="D15" s="1">
        <v>15.8</v>
      </c>
    </row>
    <row r="16" spans="1:5" ht="20" customHeight="1" x14ac:dyDescent="0.35">
      <c r="A16" s="1" t="s">
        <v>62</v>
      </c>
      <c r="B16" s="1" t="s">
        <v>47</v>
      </c>
      <c r="C16" s="1">
        <v>39.4</v>
      </c>
      <c r="D16" s="1">
        <v>15.8</v>
      </c>
    </row>
    <row r="17" spans="1:4" ht="20" customHeight="1" x14ac:dyDescent="0.35">
      <c r="A17" s="1" t="s">
        <v>63</v>
      </c>
      <c r="B17" s="1" t="s">
        <v>47</v>
      </c>
      <c r="C17" s="1">
        <v>39</v>
      </c>
      <c r="D17" s="1">
        <v>15.8</v>
      </c>
    </row>
    <row r="18" spans="1:4" ht="20" customHeight="1" x14ac:dyDescent="0.35">
      <c r="A18" s="1" t="s">
        <v>64</v>
      </c>
      <c r="B18" s="1" t="s">
        <v>47</v>
      </c>
      <c r="C18" s="1">
        <v>38.700000000000003</v>
      </c>
      <c r="D18" s="1">
        <v>15.8</v>
      </c>
    </row>
    <row r="19" spans="1:4" ht="20" customHeight="1" x14ac:dyDescent="0.35">
      <c r="A19" s="1" t="s">
        <v>65</v>
      </c>
      <c r="B19" s="1" t="s">
        <v>47</v>
      </c>
      <c r="C19" s="1">
        <v>41.6</v>
      </c>
      <c r="D19" s="1">
        <v>12.4</v>
      </c>
    </row>
    <row r="20" spans="1:4" ht="20" customHeight="1" x14ac:dyDescent="0.35">
      <c r="A20" s="1" t="s">
        <v>66</v>
      </c>
      <c r="B20" s="1" t="s">
        <v>47</v>
      </c>
      <c r="C20" s="1">
        <v>40.799999999999997</v>
      </c>
      <c r="D20" s="1">
        <v>12.2</v>
      </c>
    </row>
    <row r="21" spans="1:4" ht="20" customHeight="1" x14ac:dyDescent="0.35">
      <c r="A21" s="1" t="s">
        <v>67</v>
      </c>
      <c r="B21" s="1" t="s">
        <v>47</v>
      </c>
      <c r="C21" s="1">
        <v>40.799999999999997</v>
      </c>
      <c r="D21" s="1">
        <v>12.1</v>
      </c>
    </row>
    <row r="22" spans="1:4" ht="20" customHeight="1" x14ac:dyDescent="0.35">
      <c r="A22" s="1" t="s">
        <v>68</v>
      </c>
      <c r="B22" s="1" t="s">
        <v>47</v>
      </c>
      <c r="C22" s="1">
        <v>40.4</v>
      </c>
      <c r="D22" s="1">
        <v>12</v>
      </c>
    </row>
    <row r="23" spans="1:4" ht="20" customHeight="1" x14ac:dyDescent="0.35">
      <c r="A23" s="1" t="s">
        <v>69</v>
      </c>
      <c r="B23" s="1" t="s">
        <v>47</v>
      </c>
      <c r="C23" s="1">
        <v>40.200000000000003</v>
      </c>
      <c r="D23" s="1">
        <v>12</v>
      </c>
    </row>
    <row r="24" spans="1:4" ht="20" customHeight="1" x14ac:dyDescent="0.35">
      <c r="A24" s="1" t="s">
        <v>70</v>
      </c>
      <c r="B24" s="1" t="s">
        <v>47</v>
      </c>
      <c r="C24" s="1">
        <v>40</v>
      </c>
      <c r="D24" s="1">
        <v>11.9</v>
      </c>
    </row>
    <row r="25" spans="1:4" ht="20" customHeight="1" x14ac:dyDescent="0.35">
      <c r="A25" s="1" t="s">
        <v>71</v>
      </c>
      <c r="B25" s="1" t="s">
        <v>47</v>
      </c>
      <c r="C25" s="1">
        <v>39.700000000000003</v>
      </c>
      <c r="D25" s="1">
        <v>11.9</v>
      </c>
    </row>
    <row r="26" spans="1:4" ht="20" customHeight="1" x14ac:dyDescent="0.35">
      <c r="A26" s="1" t="s">
        <v>72</v>
      </c>
      <c r="B26" s="1" t="s">
        <v>47</v>
      </c>
      <c r="C26" s="1">
        <v>39.4</v>
      </c>
      <c r="D26" s="1">
        <v>11.8</v>
      </c>
    </row>
    <row r="27" spans="1:4" ht="20" customHeight="1" x14ac:dyDescent="0.35">
      <c r="A27" s="1" t="s">
        <v>73</v>
      </c>
      <c r="B27" s="1" t="s">
        <v>47</v>
      </c>
      <c r="C27" s="1">
        <v>39</v>
      </c>
      <c r="D27" s="1">
        <v>11.8</v>
      </c>
    </row>
    <row r="28" spans="1:4" ht="20" customHeight="1" x14ac:dyDescent="0.35">
      <c r="A28" s="1" t="s">
        <v>74</v>
      </c>
      <c r="B28" s="1" t="s">
        <v>47</v>
      </c>
      <c r="C28" s="1">
        <v>38.6</v>
      </c>
      <c r="D28" s="1">
        <v>11.8</v>
      </c>
    </row>
    <row r="29" spans="1:4" ht="20" customHeight="1" x14ac:dyDescent="0.35">
      <c r="A29" s="1" t="s">
        <v>75</v>
      </c>
      <c r="B29" s="1" t="s">
        <v>47</v>
      </c>
      <c r="C29" s="1">
        <v>38.200000000000003</v>
      </c>
      <c r="D29" s="1">
        <v>11.8</v>
      </c>
    </row>
    <row r="30" spans="1:4" ht="20" customHeight="1" x14ac:dyDescent="0.35">
      <c r="A30" s="1" t="s">
        <v>76</v>
      </c>
      <c r="B30" s="1" t="s">
        <v>47</v>
      </c>
      <c r="C30" s="1">
        <v>43.1</v>
      </c>
      <c r="D30" s="1">
        <v>18.600000000000001</v>
      </c>
    </row>
    <row r="31" spans="1:4" ht="20" customHeight="1" x14ac:dyDescent="0.35">
      <c r="A31" s="1" t="s">
        <v>77</v>
      </c>
      <c r="B31" s="1" t="s">
        <v>47</v>
      </c>
      <c r="C31" s="1">
        <v>43.1</v>
      </c>
      <c r="D31" s="1">
        <v>18.2</v>
      </c>
    </row>
    <row r="32" spans="1:4" ht="20" customHeight="1" x14ac:dyDescent="0.35">
      <c r="A32" s="1" t="s">
        <v>78</v>
      </c>
      <c r="B32" s="1" t="s">
        <v>47</v>
      </c>
      <c r="C32" s="1">
        <v>42.6</v>
      </c>
      <c r="D32" s="1">
        <v>18</v>
      </c>
    </row>
    <row r="33" spans="1:4" ht="20" customHeight="1" x14ac:dyDescent="0.35">
      <c r="A33" s="1" t="s">
        <v>79</v>
      </c>
      <c r="B33" s="1" t="s">
        <v>47</v>
      </c>
      <c r="C33" s="1">
        <v>41.8</v>
      </c>
      <c r="D33" s="1">
        <v>17.8</v>
      </c>
    </row>
    <row r="34" spans="1:4" ht="20" customHeight="1" x14ac:dyDescent="0.35">
      <c r="A34" s="1" t="s">
        <v>80</v>
      </c>
      <c r="B34" s="1" t="s">
        <v>47</v>
      </c>
      <c r="C34" s="1">
        <v>41.1</v>
      </c>
      <c r="D34" s="1">
        <v>17.600000000000001</v>
      </c>
    </row>
    <row r="35" spans="1:4" ht="20" customHeight="1" x14ac:dyDescent="0.35">
      <c r="A35" s="1" t="s">
        <v>81</v>
      </c>
      <c r="B35" s="1" t="s">
        <v>47</v>
      </c>
      <c r="C35" s="1">
        <v>39.799999999999997</v>
      </c>
      <c r="D35" s="1">
        <v>17.2</v>
      </c>
    </row>
    <row r="36" spans="1:4" ht="20" customHeight="1" x14ac:dyDescent="0.35">
      <c r="A36" s="1" t="s">
        <v>82</v>
      </c>
      <c r="B36" s="1" t="s">
        <v>47</v>
      </c>
      <c r="C36" s="1">
        <v>39.299999999999997</v>
      </c>
      <c r="D36" s="1">
        <v>17.100000000000001</v>
      </c>
    </row>
    <row r="37" spans="1:4" ht="20" customHeight="1" x14ac:dyDescent="0.35">
      <c r="A37" s="1" t="s">
        <v>83</v>
      </c>
      <c r="B37" s="1" t="s">
        <v>47</v>
      </c>
      <c r="C37" s="1">
        <v>38.9</v>
      </c>
      <c r="D37" s="1">
        <v>17</v>
      </c>
    </row>
    <row r="38" spans="1:4" ht="20" customHeight="1" x14ac:dyDescent="0.35">
      <c r="A38" s="1" t="s">
        <v>84</v>
      </c>
      <c r="B38" s="1" t="s">
        <v>47</v>
      </c>
      <c r="C38" s="1">
        <v>38.4</v>
      </c>
      <c r="D38" s="1">
        <v>16.8</v>
      </c>
    </row>
    <row r="39" spans="1:4" ht="20" customHeight="1" x14ac:dyDescent="0.35">
      <c r="A39" s="1" t="s">
        <v>85</v>
      </c>
      <c r="B39" s="1" t="s">
        <v>47</v>
      </c>
      <c r="C39" s="1">
        <v>38</v>
      </c>
      <c r="D39" s="1">
        <v>16.7</v>
      </c>
    </row>
    <row r="40" spans="1:4" ht="20" customHeight="1" x14ac:dyDescent="0.35">
      <c r="A40" s="1" t="s">
        <v>86</v>
      </c>
      <c r="B40" s="1" t="s">
        <v>47</v>
      </c>
      <c r="C40" s="1">
        <v>37.700000000000003</v>
      </c>
      <c r="D40" s="1">
        <v>16.600000000000001</v>
      </c>
    </row>
    <row r="41" spans="1:4" ht="20" customHeight="1" x14ac:dyDescent="0.35">
      <c r="A41" s="1" t="s">
        <v>87</v>
      </c>
      <c r="B41" s="1" t="s">
        <v>47</v>
      </c>
      <c r="C41" s="1">
        <v>37.299999999999997</v>
      </c>
      <c r="D41" s="1">
        <v>16.7</v>
      </c>
    </row>
    <row r="42" spans="1:4" ht="20" customHeight="1" x14ac:dyDescent="0.35">
      <c r="A42" s="1" t="s">
        <v>88</v>
      </c>
      <c r="B42" s="1" t="s">
        <v>47</v>
      </c>
      <c r="C42" s="1">
        <v>37.1</v>
      </c>
      <c r="D42" s="1">
        <v>16.600000000000001</v>
      </c>
    </row>
    <row r="43" spans="1:4" ht="20" customHeight="1" x14ac:dyDescent="0.35">
      <c r="A43" s="1" t="s">
        <v>89</v>
      </c>
      <c r="B43" s="1" t="s">
        <v>47</v>
      </c>
      <c r="C43" s="1">
        <v>36.9</v>
      </c>
      <c r="D43" s="1">
        <v>16.600000000000001</v>
      </c>
    </row>
    <row r="44" spans="1:4" ht="20" customHeight="1" x14ac:dyDescent="0.35">
      <c r="A44" s="1" t="s">
        <v>90</v>
      </c>
      <c r="B44" s="1" t="s">
        <v>47</v>
      </c>
      <c r="C44" s="1">
        <v>36.700000000000003</v>
      </c>
      <c r="D44" s="1">
        <v>16.5</v>
      </c>
    </row>
    <row r="45" spans="1:4" ht="20" customHeight="1" x14ac:dyDescent="0.35">
      <c r="A45" s="1" t="s">
        <v>91</v>
      </c>
      <c r="B45" s="1" t="s">
        <v>47</v>
      </c>
      <c r="C45" s="1">
        <v>36.5</v>
      </c>
      <c r="D45" s="1">
        <v>16.5</v>
      </c>
    </row>
    <row r="46" spans="1:4" ht="20" customHeight="1" x14ac:dyDescent="0.35">
      <c r="A46" s="1" t="s">
        <v>92</v>
      </c>
      <c r="B46" s="1" t="s">
        <v>47</v>
      </c>
      <c r="C46" s="1">
        <v>37.4</v>
      </c>
      <c r="D46" s="1">
        <v>12.2</v>
      </c>
    </row>
    <row r="47" spans="1:4" ht="20" customHeight="1" x14ac:dyDescent="0.35">
      <c r="A47" s="1" t="s">
        <v>93</v>
      </c>
      <c r="B47" s="1" t="s">
        <v>47</v>
      </c>
      <c r="C47" s="1">
        <v>37.1</v>
      </c>
      <c r="D47" s="1">
        <v>12.1</v>
      </c>
    </row>
    <row r="48" spans="1:4" ht="20" customHeight="1" x14ac:dyDescent="0.35">
      <c r="A48" s="1" t="s">
        <v>94</v>
      </c>
      <c r="B48" s="1" t="s">
        <v>47</v>
      </c>
      <c r="C48" s="1">
        <v>36.700000000000003</v>
      </c>
      <c r="D48" s="1">
        <v>12.2</v>
      </c>
    </row>
    <row r="49" spans="1:4" ht="20" customHeight="1" x14ac:dyDescent="0.35">
      <c r="A49" s="1" t="s">
        <v>95</v>
      </c>
      <c r="B49" s="1" t="s">
        <v>47</v>
      </c>
      <c r="C49" s="1">
        <v>36.5</v>
      </c>
      <c r="D49" s="1">
        <v>12.1</v>
      </c>
    </row>
    <row r="50" spans="1:4" ht="20" customHeight="1" x14ac:dyDescent="0.35">
      <c r="A50" s="1" t="s">
        <v>96</v>
      </c>
      <c r="B50" s="1" t="s">
        <v>47</v>
      </c>
      <c r="C50" s="1">
        <v>36.299999999999997</v>
      </c>
      <c r="D50" s="1">
        <v>12.1</v>
      </c>
    </row>
    <row r="51" spans="1:4" ht="20" customHeight="1" x14ac:dyDescent="0.35">
      <c r="A51" s="1" t="s">
        <v>97</v>
      </c>
      <c r="B51" s="1" t="s">
        <v>47</v>
      </c>
      <c r="C51" s="1">
        <v>36.200000000000003</v>
      </c>
      <c r="D51" s="1">
        <v>12</v>
      </c>
    </row>
    <row r="52" spans="1:4" ht="20" customHeight="1" x14ac:dyDescent="0.35">
      <c r="A52" s="1" t="s">
        <v>98</v>
      </c>
      <c r="B52" s="1" t="s">
        <v>47</v>
      </c>
      <c r="C52" s="1">
        <v>36</v>
      </c>
      <c r="D52" s="1">
        <v>12</v>
      </c>
    </row>
    <row r="53" spans="1:4" ht="20" customHeight="1" x14ac:dyDescent="0.35">
      <c r="A53" s="1" t="s">
        <v>99</v>
      </c>
      <c r="B53" s="1" t="s">
        <v>47</v>
      </c>
      <c r="C53" s="1">
        <v>35.9</v>
      </c>
      <c r="D53" s="1">
        <v>12</v>
      </c>
    </row>
    <row r="54" spans="1:4" ht="20" customHeight="1" x14ac:dyDescent="0.35">
      <c r="A54" s="1" t="s">
        <v>100</v>
      </c>
      <c r="B54" s="1" t="s">
        <v>47</v>
      </c>
      <c r="C54" s="1">
        <v>35.6</v>
      </c>
      <c r="D54" s="1">
        <v>12</v>
      </c>
    </row>
    <row r="55" spans="1:4" ht="20" customHeight="1" x14ac:dyDescent="0.35">
      <c r="A55" s="1" t="s">
        <v>101</v>
      </c>
      <c r="B55" s="1" t="s">
        <v>47</v>
      </c>
      <c r="C55" s="1">
        <v>36</v>
      </c>
      <c r="D55" s="1">
        <v>16.2</v>
      </c>
    </row>
    <row r="56" spans="1:4" ht="20" customHeight="1" x14ac:dyDescent="0.35">
      <c r="A56" s="1" t="s">
        <v>102</v>
      </c>
      <c r="B56" s="1" t="s">
        <v>47</v>
      </c>
      <c r="C56" s="1">
        <v>35.6</v>
      </c>
      <c r="D56" s="1">
        <v>16.100000000000001</v>
      </c>
    </row>
    <row r="57" spans="1:4" ht="20" customHeight="1" x14ac:dyDescent="0.35">
      <c r="A57" s="1" t="s">
        <v>103</v>
      </c>
      <c r="B57" s="1" t="s">
        <v>47</v>
      </c>
      <c r="C57" s="1">
        <v>35.200000000000003</v>
      </c>
      <c r="D57" s="1">
        <v>16</v>
      </c>
    </row>
    <row r="58" spans="1:4" ht="20" customHeight="1" x14ac:dyDescent="0.35">
      <c r="A58" s="1" t="s">
        <v>104</v>
      </c>
      <c r="B58" s="1" t="s">
        <v>47</v>
      </c>
      <c r="C58" s="1">
        <v>34.799999999999997</v>
      </c>
      <c r="D58" s="1">
        <v>15.9</v>
      </c>
    </row>
    <row r="59" spans="1:4" ht="20" customHeight="1" x14ac:dyDescent="0.35">
      <c r="A59" s="1" t="s">
        <v>105</v>
      </c>
      <c r="B59" s="1" t="s">
        <v>47</v>
      </c>
      <c r="C59" s="1">
        <v>34.5</v>
      </c>
      <c r="D59" s="1">
        <v>15.8</v>
      </c>
    </row>
    <row r="60" spans="1:4" ht="20" customHeight="1" x14ac:dyDescent="0.35">
      <c r="A60" s="1" t="s">
        <v>106</v>
      </c>
      <c r="B60" s="1" t="s">
        <v>47</v>
      </c>
      <c r="C60" s="1">
        <v>34.200000000000003</v>
      </c>
      <c r="D60" s="1">
        <v>15.9</v>
      </c>
    </row>
    <row r="61" spans="1:4" ht="20" customHeight="1" x14ac:dyDescent="0.35">
      <c r="A61" s="1" t="s">
        <v>107</v>
      </c>
      <c r="B61" s="1" t="s">
        <v>47</v>
      </c>
      <c r="C61" s="1">
        <v>33.9</v>
      </c>
      <c r="D61" s="1">
        <v>15.8</v>
      </c>
    </row>
    <row r="62" spans="1:4" ht="20" customHeight="1" x14ac:dyDescent="0.35">
      <c r="A62" s="1" t="s">
        <v>108</v>
      </c>
      <c r="B62" s="1" t="s">
        <v>47</v>
      </c>
      <c r="C62" s="1">
        <v>33.700000000000003</v>
      </c>
      <c r="D62" s="1">
        <v>15.7</v>
      </c>
    </row>
    <row r="63" spans="1:4" ht="20" customHeight="1" x14ac:dyDescent="0.35">
      <c r="A63" s="1" t="s">
        <v>109</v>
      </c>
      <c r="B63" s="1" t="s">
        <v>47</v>
      </c>
      <c r="C63" s="1">
        <v>33.799999999999997</v>
      </c>
      <c r="D63" s="1">
        <v>11.5</v>
      </c>
    </row>
    <row r="64" spans="1:4" ht="20" customHeight="1" x14ac:dyDescent="0.35">
      <c r="A64" s="1" t="s">
        <v>110</v>
      </c>
      <c r="B64" s="1" t="s">
        <v>47</v>
      </c>
      <c r="C64" s="1">
        <v>33.5</v>
      </c>
      <c r="D64" s="1">
        <v>11.6</v>
      </c>
    </row>
    <row r="65" spans="1:4" ht="20" customHeight="1" x14ac:dyDescent="0.35">
      <c r="A65" s="1" t="s">
        <v>111</v>
      </c>
      <c r="B65" s="1" t="s">
        <v>47</v>
      </c>
      <c r="C65" s="1">
        <v>33.299999999999997</v>
      </c>
      <c r="D65" s="1">
        <v>11.5</v>
      </c>
    </row>
    <row r="66" spans="1:4" ht="20" customHeight="1" x14ac:dyDescent="0.35">
      <c r="A66" s="1" t="s">
        <v>112</v>
      </c>
      <c r="B66" s="1" t="s">
        <v>47</v>
      </c>
      <c r="C66" s="1">
        <v>33.1</v>
      </c>
      <c r="D66" s="1">
        <v>11.5</v>
      </c>
    </row>
    <row r="67" spans="1:4" ht="20" customHeight="1" x14ac:dyDescent="0.35">
      <c r="A67" s="1" t="s">
        <v>113</v>
      </c>
      <c r="B67" s="1" t="s">
        <v>47</v>
      </c>
      <c r="C67" s="1">
        <v>32.9</v>
      </c>
      <c r="D67" s="1">
        <v>11.5</v>
      </c>
    </row>
    <row r="68" spans="1:4" ht="20" customHeight="1" x14ac:dyDescent="0.35">
      <c r="A68" s="1" t="s">
        <v>114</v>
      </c>
      <c r="B68" s="1" t="s">
        <v>47</v>
      </c>
      <c r="C68" s="1">
        <v>33.200000000000003</v>
      </c>
      <c r="D68" s="1">
        <v>15.6</v>
      </c>
    </row>
    <row r="69" spans="1:4" ht="20" customHeight="1" x14ac:dyDescent="0.35">
      <c r="A69" s="1" t="s">
        <v>115</v>
      </c>
      <c r="B69" s="1" t="s">
        <v>47</v>
      </c>
      <c r="C69" s="1">
        <v>32.799999999999997</v>
      </c>
      <c r="D69" s="1">
        <v>15.5</v>
      </c>
    </row>
    <row r="70" spans="1:4" ht="20" customHeight="1" x14ac:dyDescent="0.35">
      <c r="A70" s="1" t="s">
        <v>116</v>
      </c>
      <c r="B70" s="1" t="s">
        <v>47</v>
      </c>
      <c r="C70" s="1">
        <v>32.4</v>
      </c>
      <c r="D70" s="1">
        <v>15.4</v>
      </c>
    </row>
    <row r="71" spans="1:4" ht="20" customHeight="1" x14ac:dyDescent="0.35">
      <c r="A71" s="1" t="s">
        <v>117</v>
      </c>
      <c r="B71" s="1" t="s">
        <v>47</v>
      </c>
      <c r="C71" s="1">
        <v>32</v>
      </c>
      <c r="D71" s="1">
        <v>15.3</v>
      </c>
    </row>
    <row r="72" spans="1:4" ht="20" customHeight="1" x14ac:dyDescent="0.35">
      <c r="A72" s="1" t="s">
        <v>118</v>
      </c>
      <c r="B72" s="1" t="s">
        <v>47</v>
      </c>
      <c r="C72" s="1">
        <v>31.6</v>
      </c>
      <c r="D72" s="1">
        <v>15.2</v>
      </c>
    </row>
    <row r="73" spans="1:4" ht="20" customHeight="1" x14ac:dyDescent="0.35">
      <c r="A73" s="1" t="s">
        <v>119</v>
      </c>
      <c r="B73" s="1" t="s">
        <v>47</v>
      </c>
      <c r="C73" s="1">
        <v>31.3</v>
      </c>
      <c r="D73" s="1">
        <v>15.1</v>
      </c>
    </row>
    <row r="74" spans="1:4" ht="20" customHeight="1" x14ac:dyDescent="0.35">
      <c r="A74" s="1" t="s">
        <v>120</v>
      </c>
      <c r="B74" s="1" t="s">
        <v>47</v>
      </c>
      <c r="C74" s="1">
        <v>30.9</v>
      </c>
      <c r="D74" s="1">
        <v>15.1</v>
      </c>
    </row>
    <row r="75" spans="1:4" ht="20" customHeight="1" x14ac:dyDescent="0.35">
      <c r="A75" s="1" t="s">
        <v>121</v>
      </c>
      <c r="B75" s="1" t="s">
        <v>47</v>
      </c>
      <c r="C75" s="1">
        <v>30.7</v>
      </c>
      <c r="D75" s="1">
        <v>15</v>
      </c>
    </row>
    <row r="76" spans="1:4" ht="20" customHeight="1" x14ac:dyDescent="0.35">
      <c r="A76" s="1" t="s">
        <v>122</v>
      </c>
      <c r="B76" s="1" t="s">
        <v>47</v>
      </c>
      <c r="C76" s="1">
        <v>30.4</v>
      </c>
      <c r="D76" s="1">
        <v>15</v>
      </c>
    </row>
    <row r="77" spans="1:4" ht="20" customHeight="1" x14ac:dyDescent="0.35">
      <c r="A77" s="1" t="s">
        <v>123</v>
      </c>
      <c r="B77" s="1" t="s">
        <v>47</v>
      </c>
      <c r="C77" s="1">
        <v>30.7</v>
      </c>
      <c r="D77" s="1">
        <v>10.5</v>
      </c>
    </row>
    <row r="78" spans="1:4" ht="20" customHeight="1" x14ac:dyDescent="0.35">
      <c r="A78" s="1" t="s">
        <v>124</v>
      </c>
      <c r="B78" s="1" t="s">
        <v>47</v>
      </c>
      <c r="C78" s="1">
        <v>30.3</v>
      </c>
      <c r="D78" s="1">
        <v>10.5</v>
      </c>
    </row>
    <row r="79" spans="1:4" ht="20" customHeight="1" x14ac:dyDescent="0.35">
      <c r="A79" s="1" t="s">
        <v>125</v>
      </c>
      <c r="B79" s="1" t="s">
        <v>47</v>
      </c>
      <c r="C79" s="1">
        <v>30.2</v>
      </c>
      <c r="D79" s="1">
        <v>10.5</v>
      </c>
    </row>
    <row r="80" spans="1:4" ht="20" customHeight="1" x14ac:dyDescent="0.35">
      <c r="A80" s="1" t="s">
        <v>126</v>
      </c>
      <c r="B80" s="1" t="s">
        <v>47</v>
      </c>
      <c r="C80" s="1">
        <v>30</v>
      </c>
      <c r="D80" s="1">
        <v>10.5</v>
      </c>
    </row>
    <row r="81" spans="1:4" ht="20" customHeight="1" x14ac:dyDescent="0.35">
      <c r="A81" s="1" t="s">
        <v>127</v>
      </c>
      <c r="B81" s="1" t="s">
        <v>47</v>
      </c>
      <c r="C81" s="1">
        <v>29.8</v>
      </c>
      <c r="D81" s="1">
        <v>10.5</v>
      </c>
    </row>
    <row r="82" spans="1:4" ht="20" customHeight="1" x14ac:dyDescent="0.35">
      <c r="A82" s="1" t="s">
        <v>128</v>
      </c>
      <c r="B82" s="1" t="s">
        <v>47</v>
      </c>
      <c r="C82" s="1">
        <v>29.7</v>
      </c>
      <c r="D82" s="1">
        <v>10.5</v>
      </c>
    </row>
    <row r="83" spans="1:4" ht="20" customHeight="1" x14ac:dyDescent="0.35">
      <c r="A83" s="1" t="s">
        <v>129</v>
      </c>
      <c r="B83" s="1" t="s">
        <v>47</v>
      </c>
      <c r="C83" s="1">
        <v>29.5</v>
      </c>
      <c r="D83" s="1">
        <v>10.4</v>
      </c>
    </row>
    <row r="84" spans="1:4" ht="20" customHeight="1" x14ac:dyDescent="0.35">
      <c r="A84" s="1" t="s">
        <v>130</v>
      </c>
      <c r="B84" s="1" t="s">
        <v>47</v>
      </c>
      <c r="C84" s="1">
        <v>32.5</v>
      </c>
      <c r="D84" s="1">
        <v>15.3</v>
      </c>
    </row>
    <row r="85" spans="1:4" ht="20" customHeight="1" x14ac:dyDescent="0.35">
      <c r="A85" s="1" t="s">
        <v>131</v>
      </c>
      <c r="B85" s="1" t="s">
        <v>47</v>
      </c>
      <c r="C85" s="1">
        <v>30.4</v>
      </c>
      <c r="D85" s="1">
        <v>14.7</v>
      </c>
    </row>
    <row r="86" spans="1:4" ht="20" customHeight="1" x14ac:dyDescent="0.35">
      <c r="A86" s="1" t="s">
        <v>132</v>
      </c>
      <c r="B86" s="1" t="s">
        <v>47</v>
      </c>
      <c r="C86" s="1">
        <v>30</v>
      </c>
      <c r="D86" s="1">
        <v>14.6</v>
      </c>
    </row>
    <row r="87" spans="1:4" ht="20" customHeight="1" x14ac:dyDescent="0.35">
      <c r="A87" s="1" t="s">
        <v>133</v>
      </c>
      <c r="B87" s="1" t="s">
        <v>47</v>
      </c>
      <c r="C87" s="1">
        <v>29.6</v>
      </c>
      <c r="D87" s="1">
        <v>14.4</v>
      </c>
    </row>
    <row r="88" spans="1:4" ht="20" customHeight="1" x14ac:dyDescent="0.35">
      <c r="A88" s="1" t="s">
        <v>134</v>
      </c>
      <c r="B88" s="1" t="s">
        <v>47</v>
      </c>
      <c r="C88" s="1">
        <v>29.3</v>
      </c>
      <c r="D88" s="1">
        <v>14.4</v>
      </c>
    </row>
    <row r="89" spans="1:4" ht="20" customHeight="1" x14ac:dyDescent="0.35">
      <c r="A89" s="1" t="s">
        <v>135</v>
      </c>
      <c r="B89" s="1" t="s">
        <v>47</v>
      </c>
      <c r="C89" s="1">
        <v>29</v>
      </c>
      <c r="D89" s="1">
        <v>14.3</v>
      </c>
    </row>
    <row r="90" spans="1:4" ht="20" customHeight="1" x14ac:dyDescent="0.35">
      <c r="A90" s="1" t="s">
        <v>136</v>
      </c>
      <c r="B90" s="1" t="s">
        <v>47</v>
      </c>
      <c r="C90" s="1">
        <v>28.7</v>
      </c>
      <c r="D90" s="1">
        <v>14.2</v>
      </c>
    </row>
    <row r="91" spans="1:4" ht="20" customHeight="1" x14ac:dyDescent="0.35">
      <c r="A91" s="1" t="s">
        <v>137</v>
      </c>
      <c r="B91" s="1" t="s">
        <v>47</v>
      </c>
      <c r="C91" s="1">
        <v>28.4</v>
      </c>
      <c r="D91" s="1">
        <v>14.1</v>
      </c>
    </row>
    <row r="92" spans="1:4" ht="20" customHeight="1" x14ac:dyDescent="0.35">
      <c r="A92" s="1" t="s">
        <v>138</v>
      </c>
      <c r="B92" s="1" t="s">
        <v>47</v>
      </c>
      <c r="C92" s="1">
        <v>28.1</v>
      </c>
      <c r="D92" s="1">
        <v>14</v>
      </c>
    </row>
    <row r="93" spans="1:4" ht="20" customHeight="1" x14ac:dyDescent="0.35">
      <c r="A93" s="1" t="s">
        <v>139</v>
      </c>
      <c r="B93" s="1" t="s">
        <v>47</v>
      </c>
      <c r="C93" s="1">
        <v>27.8</v>
      </c>
      <c r="D93" s="1">
        <v>14.1</v>
      </c>
    </row>
    <row r="94" spans="1:4" ht="20" customHeight="1" x14ac:dyDescent="0.35">
      <c r="A94" s="1" t="s">
        <v>140</v>
      </c>
      <c r="B94" s="1" t="s">
        <v>47</v>
      </c>
      <c r="C94" s="1">
        <v>27.6</v>
      </c>
      <c r="D94" s="1">
        <v>14</v>
      </c>
    </row>
    <row r="95" spans="1:4" ht="20" customHeight="1" x14ac:dyDescent="0.35">
      <c r="A95" s="1" t="s">
        <v>141</v>
      </c>
      <c r="B95" s="1" t="s">
        <v>47</v>
      </c>
      <c r="C95" s="1">
        <v>27.4</v>
      </c>
      <c r="D95" s="1">
        <v>14</v>
      </c>
    </row>
    <row r="96" spans="1:4" ht="20" customHeight="1" x14ac:dyDescent="0.35">
      <c r="A96" s="1" t="s">
        <v>142</v>
      </c>
      <c r="B96" s="1" t="s">
        <v>47</v>
      </c>
      <c r="C96" s="1">
        <v>27.6</v>
      </c>
      <c r="D96" s="1">
        <v>10</v>
      </c>
    </row>
    <row r="97" spans="1:4" ht="20" customHeight="1" x14ac:dyDescent="0.35">
      <c r="A97" s="1" t="s">
        <v>143</v>
      </c>
      <c r="B97" s="1" t="s">
        <v>47</v>
      </c>
      <c r="C97" s="1">
        <v>27.3</v>
      </c>
      <c r="D97" s="1">
        <v>10.1</v>
      </c>
    </row>
    <row r="98" spans="1:4" ht="20" customHeight="1" x14ac:dyDescent="0.35">
      <c r="A98" s="1" t="s">
        <v>144</v>
      </c>
      <c r="B98" s="1" t="s">
        <v>47</v>
      </c>
      <c r="C98" s="1">
        <v>27.1</v>
      </c>
      <c r="D98" s="1">
        <v>10</v>
      </c>
    </row>
    <row r="99" spans="1:4" ht="20" customHeight="1" x14ac:dyDescent="0.35">
      <c r="A99" s="1" t="s">
        <v>145</v>
      </c>
      <c r="B99" s="1" t="s">
        <v>47</v>
      </c>
      <c r="C99" s="1">
        <v>26.9</v>
      </c>
      <c r="D99" s="1">
        <v>10</v>
      </c>
    </row>
    <row r="100" spans="1:4" ht="20" customHeight="1" x14ac:dyDescent="0.35">
      <c r="A100" s="1" t="s">
        <v>146</v>
      </c>
      <c r="B100" s="1" t="s">
        <v>47</v>
      </c>
      <c r="C100" s="1">
        <v>26.7</v>
      </c>
      <c r="D100" s="1">
        <v>10</v>
      </c>
    </row>
    <row r="101" spans="1:4" ht="20" customHeight="1" x14ac:dyDescent="0.35">
      <c r="A101" s="1" t="s">
        <v>147</v>
      </c>
      <c r="B101" s="1" t="s">
        <v>47</v>
      </c>
      <c r="C101" s="1">
        <v>28</v>
      </c>
      <c r="D101" s="1">
        <v>13.7</v>
      </c>
    </row>
    <row r="102" spans="1:4" ht="20" customHeight="1" x14ac:dyDescent="0.35">
      <c r="A102" s="1" t="s">
        <v>148</v>
      </c>
      <c r="B102" s="1" t="s">
        <v>47</v>
      </c>
      <c r="C102" s="1">
        <v>27.5</v>
      </c>
      <c r="D102" s="1">
        <v>13.5</v>
      </c>
    </row>
    <row r="103" spans="1:4" ht="20" customHeight="1" x14ac:dyDescent="0.35">
      <c r="A103" s="1" t="s">
        <v>149</v>
      </c>
      <c r="B103" s="1" t="s">
        <v>47</v>
      </c>
      <c r="C103" s="1">
        <v>27.1</v>
      </c>
      <c r="D103" s="1">
        <v>13.4</v>
      </c>
    </row>
    <row r="104" spans="1:4" ht="20" customHeight="1" x14ac:dyDescent="0.35">
      <c r="A104" s="1" t="s">
        <v>150</v>
      </c>
      <c r="B104" s="1" t="s">
        <v>47</v>
      </c>
      <c r="C104" s="1">
        <v>26.7</v>
      </c>
      <c r="D104" s="1">
        <v>13.3</v>
      </c>
    </row>
    <row r="105" spans="1:4" ht="20" customHeight="1" x14ac:dyDescent="0.35">
      <c r="A105" s="1" t="s">
        <v>151</v>
      </c>
      <c r="B105" s="1" t="s">
        <v>47</v>
      </c>
      <c r="C105" s="1">
        <v>26.3</v>
      </c>
      <c r="D105" s="1">
        <v>13.2</v>
      </c>
    </row>
    <row r="106" spans="1:4" ht="20" customHeight="1" x14ac:dyDescent="0.35">
      <c r="A106" s="1" t="s">
        <v>152</v>
      </c>
      <c r="B106" s="1" t="s">
        <v>47</v>
      </c>
      <c r="C106" s="1">
        <v>26</v>
      </c>
      <c r="D106" s="1">
        <v>13.1</v>
      </c>
    </row>
    <row r="107" spans="1:4" ht="20" customHeight="1" x14ac:dyDescent="0.35">
      <c r="A107" s="1" t="s">
        <v>153</v>
      </c>
      <c r="B107" s="1" t="s">
        <v>47</v>
      </c>
      <c r="C107" s="1">
        <v>25.7</v>
      </c>
      <c r="D107" s="1">
        <v>13</v>
      </c>
    </row>
    <row r="108" spans="1:4" ht="20" customHeight="1" x14ac:dyDescent="0.35">
      <c r="A108" s="1" t="s">
        <v>154</v>
      </c>
      <c r="B108" s="1" t="s">
        <v>47</v>
      </c>
      <c r="C108" s="1">
        <v>25.5</v>
      </c>
      <c r="D108" s="1">
        <v>13</v>
      </c>
    </row>
    <row r="109" spans="1:4" ht="20" customHeight="1" x14ac:dyDescent="0.35">
      <c r="A109" s="1" t="s">
        <v>155</v>
      </c>
      <c r="B109" s="1" t="s">
        <v>47</v>
      </c>
      <c r="C109" s="1">
        <v>25.2</v>
      </c>
      <c r="D109" s="1">
        <v>12.9</v>
      </c>
    </row>
    <row r="110" spans="1:4" ht="20" customHeight="1" x14ac:dyDescent="0.35">
      <c r="A110" s="1" t="s">
        <v>156</v>
      </c>
      <c r="B110" s="1" t="s">
        <v>47</v>
      </c>
      <c r="C110" s="1">
        <v>25</v>
      </c>
      <c r="D110" s="1">
        <v>13</v>
      </c>
    </row>
    <row r="111" spans="1:4" ht="20" customHeight="1" x14ac:dyDescent="0.35">
      <c r="A111" s="1" t="s">
        <v>157</v>
      </c>
      <c r="B111" s="1" t="s">
        <v>47</v>
      </c>
      <c r="C111" s="1">
        <v>24.7</v>
      </c>
      <c r="D111" s="1">
        <v>12.9</v>
      </c>
    </row>
    <row r="112" spans="1:4" ht="20" customHeight="1" x14ac:dyDescent="0.35">
      <c r="A112" s="1" t="s">
        <v>158</v>
      </c>
      <c r="B112" s="1" t="s">
        <v>47</v>
      </c>
      <c r="C112" s="1">
        <v>24.5</v>
      </c>
      <c r="D112" s="1">
        <v>12.9</v>
      </c>
    </row>
    <row r="113" spans="1:4" ht="20" customHeight="1" x14ac:dyDescent="0.35">
      <c r="A113" s="1" t="s">
        <v>159</v>
      </c>
      <c r="B113" s="1" t="s">
        <v>47</v>
      </c>
      <c r="C113" s="1">
        <v>24.3</v>
      </c>
      <c r="D113" s="1">
        <v>12.8</v>
      </c>
    </row>
    <row r="114" spans="1:4" ht="20" customHeight="1" x14ac:dyDescent="0.35">
      <c r="A114" s="1" t="s">
        <v>160</v>
      </c>
      <c r="B114" s="1" t="s">
        <v>47</v>
      </c>
      <c r="C114" s="1">
        <v>24.1</v>
      </c>
      <c r="D114" s="1">
        <v>12.8</v>
      </c>
    </row>
    <row r="115" spans="1:4" ht="20" customHeight="1" x14ac:dyDescent="0.35">
      <c r="A115" s="1" t="s">
        <v>161</v>
      </c>
      <c r="B115" s="1" t="s">
        <v>47</v>
      </c>
      <c r="C115" s="1">
        <v>24.5</v>
      </c>
      <c r="D115" s="1">
        <v>9</v>
      </c>
    </row>
    <row r="116" spans="1:4" ht="20" customHeight="1" x14ac:dyDescent="0.35">
      <c r="A116" s="1" t="s">
        <v>162</v>
      </c>
      <c r="B116" s="1" t="s">
        <v>47</v>
      </c>
      <c r="C116" s="1">
        <v>24.3</v>
      </c>
      <c r="D116" s="1">
        <v>9.07</v>
      </c>
    </row>
    <row r="117" spans="1:4" ht="20" customHeight="1" x14ac:dyDescent="0.35">
      <c r="A117" s="1" t="s">
        <v>163</v>
      </c>
      <c r="B117" s="1" t="s">
        <v>47</v>
      </c>
      <c r="C117" s="1">
        <v>24.1</v>
      </c>
      <c r="D117" s="1">
        <v>9.02</v>
      </c>
    </row>
    <row r="118" spans="1:4" ht="20" customHeight="1" x14ac:dyDescent="0.35">
      <c r="A118" s="1" t="s">
        <v>164</v>
      </c>
      <c r="B118" s="1" t="s">
        <v>47</v>
      </c>
      <c r="C118" s="1">
        <v>23.9</v>
      </c>
      <c r="D118" s="1">
        <v>8.99</v>
      </c>
    </row>
    <row r="119" spans="1:4" ht="20" customHeight="1" x14ac:dyDescent="0.35">
      <c r="A119" s="1" t="s">
        <v>165</v>
      </c>
      <c r="B119" s="1" t="s">
        <v>47</v>
      </c>
      <c r="C119" s="1">
        <v>23.7</v>
      </c>
      <c r="D119" s="1">
        <v>8.9700000000000006</v>
      </c>
    </row>
    <row r="120" spans="1:4" ht="20" customHeight="1" x14ac:dyDescent="0.35">
      <c r="A120" s="1" t="s">
        <v>166</v>
      </c>
      <c r="B120" s="1" t="s">
        <v>47</v>
      </c>
      <c r="C120" s="1">
        <v>23.7</v>
      </c>
      <c r="D120" s="1">
        <v>7.04</v>
      </c>
    </row>
    <row r="121" spans="1:4" ht="20" customHeight="1" x14ac:dyDescent="0.35">
      <c r="A121" s="1" t="s">
        <v>167</v>
      </c>
      <c r="B121" s="1" t="s">
        <v>47</v>
      </c>
      <c r="C121" s="1">
        <v>23.6</v>
      </c>
      <c r="D121" s="1">
        <v>7.01</v>
      </c>
    </row>
    <row r="122" spans="1:4" ht="20" customHeight="1" x14ac:dyDescent="0.35">
      <c r="A122" s="1" t="s">
        <v>168</v>
      </c>
      <c r="B122" s="1" t="s">
        <v>47</v>
      </c>
      <c r="C122" s="1">
        <v>24.1</v>
      </c>
      <c r="D122" s="1">
        <v>12.9</v>
      </c>
    </row>
    <row r="123" spans="1:4" ht="20" customHeight="1" x14ac:dyDescent="0.35">
      <c r="A123" s="1" t="s">
        <v>169</v>
      </c>
      <c r="B123" s="1" t="s">
        <v>47</v>
      </c>
      <c r="C123" s="1">
        <v>23.7</v>
      </c>
      <c r="D123" s="1">
        <v>12.8</v>
      </c>
    </row>
    <row r="124" spans="1:4" ht="20" customHeight="1" x14ac:dyDescent="0.35">
      <c r="A124" s="1" t="s">
        <v>170</v>
      </c>
      <c r="B124" s="1" t="s">
        <v>47</v>
      </c>
      <c r="C124" s="1">
        <v>23.4</v>
      </c>
      <c r="D124" s="1">
        <v>12.7</v>
      </c>
    </row>
    <row r="125" spans="1:4" ht="20" customHeight="1" x14ac:dyDescent="0.35">
      <c r="A125" s="1" t="s">
        <v>171</v>
      </c>
      <c r="B125" s="1" t="s">
        <v>47</v>
      </c>
      <c r="C125" s="1">
        <v>23</v>
      </c>
      <c r="D125" s="1">
        <v>12.6</v>
      </c>
    </row>
    <row r="126" spans="1:4" ht="20" customHeight="1" x14ac:dyDescent="0.35">
      <c r="A126" s="1" t="s">
        <v>172</v>
      </c>
      <c r="B126" s="1" t="s">
        <v>47</v>
      </c>
      <c r="C126" s="1">
        <v>22.7</v>
      </c>
      <c r="D126" s="1">
        <v>12.5</v>
      </c>
    </row>
    <row r="127" spans="1:4" ht="20" customHeight="1" x14ac:dyDescent="0.35">
      <c r="A127" s="1" t="s">
        <v>173</v>
      </c>
      <c r="B127" s="1" t="s">
        <v>47</v>
      </c>
      <c r="C127" s="1">
        <v>22.5</v>
      </c>
      <c r="D127" s="1">
        <v>12.4</v>
      </c>
    </row>
    <row r="128" spans="1:4" ht="20" customHeight="1" x14ac:dyDescent="0.35">
      <c r="A128" s="1" t="s">
        <v>174</v>
      </c>
      <c r="B128" s="1" t="s">
        <v>47</v>
      </c>
      <c r="C128" s="1">
        <v>22.1</v>
      </c>
      <c r="D128" s="1">
        <v>12.5</v>
      </c>
    </row>
    <row r="129" spans="1:4" ht="20" customHeight="1" x14ac:dyDescent="0.35">
      <c r="A129" s="1" t="s">
        <v>175</v>
      </c>
      <c r="B129" s="1" t="s">
        <v>47</v>
      </c>
      <c r="C129" s="1">
        <v>21.8</v>
      </c>
      <c r="D129" s="1">
        <v>12.4</v>
      </c>
    </row>
    <row r="130" spans="1:4" ht="20" customHeight="1" x14ac:dyDescent="0.35">
      <c r="A130" s="1" t="s">
        <v>176</v>
      </c>
      <c r="B130" s="1" t="s">
        <v>47</v>
      </c>
      <c r="C130" s="1">
        <v>21.7</v>
      </c>
      <c r="D130" s="1">
        <v>12.4</v>
      </c>
    </row>
    <row r="131" spans="1:4" ht="20" customHeight="1" x14ac:dyDescent="0.35">
      <c r="A131" s="1" t="s">
        <v>177</v>
      </c>
      <c r="B131" s="1" t="s">
        <v>47</v>
      </c>
      <c r="C131" s="1">
        <v>21.5</v>
      </c>
      <c r="D131" s="1">
        <v>12.3</v>
      </c>
    </row>
    <row r="132" spans="1:4" ht="20" customHeight="1" x14ac:dyDescent="0.35">
      <c r="A132" s="1" t="s">
        <v>178</v>
      </c>
      <c r="B132" s="1" t="s">
        <v>47</v>
      </c>
      <c r="C132" s="1">
        <v>21.4</v>
      </c>
      <c r="D132" s="1">
        <v>12.3</v>
      </c>
    </row>
    <row r="133" spans="1:4" ht="20" customHeight="1" x14ac:dyDescent="0.35">
      <c r="A133" s="1" t="s">
        <v>179</v>
      </c>
      <c r="B133" s="1" t="s">
        <v>47</v>
      </c>
      <c r="C133" s="1">
        <v>21.6</v>
      </c>
      <c r="D133" s="1">
        <v>8.42</v>
      </c>
    </row>
    <row r="134" spans="1:4" ht="20" customHeight="1" x14ac:dyDescent="0.35">
      <c r="A134" s="1" t="s">
        <v>180</v>
      </c>
      <c r="B134" s="1" t="s">
        <v>47</v>
      </c>
      <c r="C134" s="1">
        <v>21.4</v>
      </c>
      <c r="D134" s="1">
        <v>8.36</v>
      </c>
    </row>
    <row r="135" spans="1:4" ht="20" customHeight="1" x14ac:dyDescent="0.35">
      <c r="A135" s="1" t="s">
        <v>181</v>
      </c>
      <c r="B135" s="1" t="s">
        <v>47</v>
      </c>
      <c r="C135" s="1">
        <v>21.2</v>
      </c>
      <c r="D135" s="1">
        <v>8.3000000000000007</v>
      </c>
    </row>
    <row r="136" spans="1:4" ht="20" customHeight="1" x14ac:dyDescent="0.35">
      <c r="A136" s="1" t="s">
        <v>182</v>
      </c>
      <c r="B136" s="1" t="s">
        <v>47</v>
      </c>
      <c r="C136" s="1">
        <v>21.1</v>
      </c>
      <c r="D136" s="1">
        <v>8.27</v>
      </c>
    </row>
    <row r="137" spans="1:4" ht="20" customHeight="1" x14ac:dyDescent="0.35">
      <c r="A137" s="1" t="s">
        <v>183</v>
      </c>
      <c r="B137" s="1" t="s">
        <v>47</v>
      </c>
      <c r="C137" s="1">
        <v>21</v>
      </c>
      <c r="D137" s="1">
        <v>8.24</v>
      </c>
    </row>
    <row r="138" spans="1:4" ht="20" customHeight="1" x14ac:dyDescent="0.35">
      <c r="A138" s="1" t="s">
        <v>184</v>
      </c>
      <c r="B138" s="1" t="s">
        <v>47</v>
      </c>
      <c r="C138" s="1">
        <v>20.8</v>
      </c>
      <c r="D138" s="1">
        <v>8.2200000000000006</v>
      </c>
    </row>
    <row r="139" spans="1:4" ht="20" customHeight="1" x14ac:dyDescent="0.35">
      <c r="A139" s="1" t="s">
        <v>185</v>
      </c>
      <c r="B139" s="1" t="s">
        <v>47</v>
      </c>
      <c r="C139" s="1">
        <v>20.6</v>
      </c>
      <c r="D139" s="1">
        <v>8.14</v>
      </c>
    </row>
    <row r="140" spans="1:4" ht="20" customHeight="1" x14ac:dyDescent="0.35">
      <c r="A140" s="1" t="s">
        <v>186</v>
      </c>
      <c r="B140" s="1" t="s">
        <v>47</v>
      </c>
      <c r="C140" s="1">
        <v>21.1</v>
      </c>
      <c r="D140" s="1">
        <v>6.56</v>
      </c>
    </row>
    <row r="141" spans="1:4" ht="20" customHeight="1" x14ac:dyDescent="0.35">
      <c r="A141" s="1" t="s">
        <v>187</v>
      </c>
      <c r="B141" s="1" t="s">
        <v>47</v>
      </c>
      <c r="C141" s="1">
        <v>20.8</v>
      </c>
      <c r="D141" s="1">
        <v>6.53</v>
      </c>
    </row>
    <row r="142" spans="1:4" ht="20" customHeight="1" x14ac:dyDescent="0.35">
      <c r="A142" s="1" t="s">
        <v>188</v>
      </c>
      <c r="B142" s="1" t="s">
        <v>47</v>
      </c>
      <c r="C142" s="1">
        <v>20.7</v>
      </c>
      <c r="D142" s="1">
        <v>6.5</v>
      </c>
    </row>
    <row r="143" spans="1:4" ht="20" customHeight="1" x14ac:dyDescent="0.35">
      <c r="A143" s="1" t="s">
        <v>189</v>
      </c>
      <c r="B143" s="1" t="s">
        <v>47</v>
      </c>
      <c r="C143" s="1">
        <v>22.3</v>
      </c>
      <c r="D143" s="1">
        <v>12</v>
      </c>
    </row>
    <row r="144" spans="1:4" ht="20" customHeight="1" x14ac:dyDescent="0.35">
      <c r="A144" s="1" t="s">
        <v>190</v>
      </c>
      <c r="B144" s="1" t="s">
        <v>47</v>
      </c>
      <c r="C144" s="1">
        <v>21.9</v>
      </c>
      <c r="D144" s="1">
        <v>11.9</v>
      </c>
    </row>
    <row r="145" spans="1:4" ht="20" customHeight="1" x14ac:dyDescent="0.35">
      <c r="A145" s="1" t="s">
        <v>191</v>
      </c>
      <c r="B145" s="1" t="s">
        <v>47</v>
      </c>
      <c r="C145" s="1">
        <v>21.5</v>
      </c>
      <c r="D145" s="1">
        <v>11.8</v>
      </c>
    </row>
    <row r="146" spans="1:4" ht="20" customHeight="1" x14ac:dyDescent="0.35">
      <c r="A146" s="1" t="s">
        <v>192</v>
      </c>
      <c r="B146" s="1" t="s">
        <v>47</v>
      </c>
      <c r="C146" s="1">
        <v>21.1</v>
      </c>
      <c r="D146" s="1">
        <v>11.7</v>
      </c>
    </row>
    <row r="147" spans="1:4" ht="20" customHeight="1" x14ac:dyDescent="0.35">
      <c r="A147" s="1" t="s">
        <v>193</v>
      </c>
      <c r="B147" s="1" t="s">
        <v>47</v>
      </c>
      <c r="C147" s="1">
        <v>20.7</v>
      </c>
      <c r="D147" s="1">
        <v>11.6</v>
      </c>
    </row>
    <row r="148" spans="1:4" ht="20" customHeight="1" x14ac:dyDescent="0.35">
      <c r="A148" s="1" t="s">
        <v>194</v>
      </c>
      <c r="B148" s="1" t="s">
        <v>47</v>
      </c>
      <c r="C148" s="1">
        <v>20.399999999999999</v>
      </c>
      <c r="D148" s="1">
        <v>11.5</v>
      </c>
    </row>
    <row r="149" spans="1:4" ht="20" customHeight="1" x14ac:dyDescent="0.35">
      <c r="A149" s="1" t="s">
        <v>195</v>
      </c>
      <c r="B149" s="1" t="s">
        <v>47</v>
      </c>
      <c r="C149" s="1">
        <v>20</v>
      </c>
      <c r="D149" s="1">
        <v>11.4</v>
      </c>
    </row>
    <row r="150" spans="1:4" ht="20" customHeight="1" x14ac:dyDescent="0.35">
      <c r="A150" s="1" t="s">
        <v>196</v>
      </c>
      <c r="B150" s="1" t="s">
        <v>47</v>
      </c>
      <c r="C150" s="1">
        <v>19.7</v>
      </c>
      <c r="D150" s="1">
        <v>11.3</v>
      </c>
    </row>
    <row r="151" spans="1:4" ht="20" customHeight="1" x14ac:dyDescent="0.35">
      <c r="A151" s="1" t="s">
        <v>197</v>
      </c>
      <c r="B151" s="1" t="s">
        <v>47</v>
      </c>
      <c r="C151" s="1">
        <v>19.5</v>
      </c>
      <c r="D151" s="1">
        <v>11.2</v>
      </c>
    </row>
    <row r="152" spans="1:4" ht="20" customHeight="1" x14ac:dyDescent="0.35">
      <c r="A152" s="1" t="s">
        <v>198</v>
      </c>
      <c r="B152" s="1" t="s">
        <v>47</v>
      </c>
      <c r="C152" s="1">
        <v>19.3</v>
      </c>
      <c r="D152" s="1">
        <v>11.2</v>
      </c>
    </row>
    <row r="153" spans="1:4" ht="20" customHeight="1" x14ac:dyDescent="0.35">
      <c r="A153" s="1" t="s">
        <v>199</v>
      </c>
      <c r="B153" s="1" t="s">
        <v>47</v>
      </c>
      <c r="C153" s="1">
        <v>19</v>
      </c>
      <c r="D153" s="1">
        <v>11.3</v>
      </c>
    </row>
    <row r="154" spans="1:4" ht="20" customHeight="1" x14ac:dyDescent="0.35">
      <c r="A154" s="1" t="s">
        <v>200</v>
      </c>
      <c r="B154" s="1" t="s">
        <v>47</v>
      </c>
      <c r="C154" s="1">
        <v>18.7</v>
      </c>
      <c r="D154" s="1">
        <v>11.2</v>
      </c>
    </row>
    <row r="155" spans="1:4" ht="20" customHeight="1" x14ac:dyDescent="0.35">
      <c r="A155" s="1" t="s">
        <v>201</v>
      </c>
      <c r="B155" s="1" t="s">
        <v>47</v>
      </c>
      <c r="C155" s="1">
        <v>18.600000000000001</v>
      </c>
      <c r="D155" s="1">
        <v>11.1</v>
      </c>
    </row>
    <row r="156" spans="1:4" ht="20" customHeight="1" x14ac:dyDescent="0.35">
      <c r="A156" s="1" t="s">
        <v>202</v>
      </c>
      <c r="B156" s="1" t="s">
        <v>47</v>
      </c>
      <c r="C156" s="1">
        <v>18.399999999999999</v>
      </c>
      <c r="D156" s="1">
        <v>11.1</v>
      </c>
    </row>
    <row r="157" spans="1:4" ht="20" customHeight="1" x14ac:dyDescent="0.35">
      <c r="A157" s="1" t="s">
        <v>203</v>
      </c>
      <c r="B157" s="1" t="s">
        <v>47</v>
      </c>
      <c r="C157" s="1">
        <v>18.2</v>
      </c>
      <c r="D157" s="1">
        <v>11</v>
      </c>
    </row>
    <row r="158" spans="1:4" ht="20" customHeight="1" x14ac:dyDescent="0.35">
      <c r="A158" s="1" t="s">
        <v>204</v>
      </c>
      <c r="B158" s="1" t="s">
        <v>47</v>
      </c>
      <c r="C158" s="1">
        <v>18.5</v>
      </c>
      <c r="D158" s="1">
        <v>7.64</v>
      </c>
    </row>
    <row r="159" spans="1:4" ht="20" customHeight="1" x14ac:dyDescent="0.35">
      <c r="A159" s="1" t="s">
        <v>205</v>
      </c>
      <c r="B159" s="1" t="s">
        <v>47</v>
      </c>
      <c r="C159" s="1">
        <v>18.399999999999999</v>
      </c>
      <c r="D159" s="1">
        <v>7.59</v>
      </c>
    </row>
    <row r="160" spans="1:4" ht="20" customHeight="1" x14ac:dyDescent="0.35">
      <c r="A160" s="1" t="s">
        <v>206</v>
      </c>
      <c r="B160" s="1" t="s">
        <v>47</v>
      </c>
      <c r="C160" s="1">
        <v>18.2</v>
      </c>
      <c r="D160" s="1">
        <v>7.56</v>
      </c>
    </row>
    <row r="161" spans="1:4" ht="20" customHeight="1" x14ac:dyDescent="0.35">
      <c r="A161" s="1" t="s">
        <v>207</v>
      </c>
      <c r="B161" s="1" t="s">
        <v>47</v>
      </c>
      <c r="C161" s="1">
        <v>18.100000000000001</v>
      </c>
      <c r="D161" s="1">
        <v>7.53</v>
      </c>
    </row>
    <row r="162" spans="1:4" ht="20" customHeight="1" x14ac:dyDescent="0.35">
      <c r="A162" s="1" t="s">
        <v>208</v>
      </c>
      <c r="B162" s="1" t="s">
        <v>47</v>
      </c>
      <c r="C162" s="1">
        <v>18</v>
      </c>
      <c r="D162" s="1">
        <v>7.5</v>
      </c>
    </row>
    <row r="163" spans="1:4" ht="20" customHeight="1" x14ac:dyDescent="0.35">
      <c r="A163" s="1" t="s">
        <v>209</v>
      </c>
      <c r="B163" s="1" t="s">
        <v>47</v>
      </c>
      <c r="C163" s="1">
        <v>18.100000000000001</v>
      </c>
      <c r="D163" s="1">
        <v>6.06</v>
      </c>
    </row>
    <row r="164" spans="1:4" ht="20" customHeight="1" x14ac:dyDescent="0.35">
      <c r="A164" s="1" t="s">
        <v>210</v>
      </c>
      <c r="B164" s="1" t="s">
        <v>47</v>
      </c>
      <c r="C164" s="1">
        <v>17.899999999999999</v>
      </c>
      <c r="D164" s="1">
        <v>6.02</v>
      </c>
    </row>
    <row r="165" spans="1:4" ht="20" customHeight="1" x14ac:dyDescent="0.35">
      <c r="A165" s="1" t="s">
        <v>211</v>
      </c>
      <c r="B165" s="1" t="s">
        <v>47</v>
      </c>
      <c r="C165" s="1">
        <v>17.7</v>
      </c>
      <c r="D165" s="1">
        <v>6</v>
      </c>
    </row>
    <row r="166" spans="1:4" ht="20" customHeight="1" x14ac:dyDescent="0.35">
      <c r="A166" s="1" t="s">
        <v>212</v>
      </c>
      <c r="B166" s="1" t="s">
        <v>47</v>
      </c>
      <c r="C166" s="1">
        <v>17</v>
      </c>
      <c r="D166" s="1">
        <v>10.4</v>
      </c>
    </row>
    <row r="167" spans="1:4" ht="20" customHeight="1" x14ac:dyDescent="0.35">
      <c r="A167" s="1" t="s">
        <v>213</v>
      </c>
      <c r="B167" s="1" t="s">
        <v>47</v>
      </c>
      <c r="C167" s="1">
        <v>16.8</v>
      </c>
      <c r="D167" s="1">
        <v>10.4</v>
      </c>
    </row>
    <row r="168" spans="1:4" ht="20" customHeight="1" x14ac:dyDescent="0.35">
      <c r="A168" s="1" t="s">
        <v>214</v>
      </c>
      <c r="B168" s="1" t="s">
        <v>47</v>
      </c>
      <c r="C168" s="1">
        <v>16.5</v>
      </c>
      <c r="D168" s="1">
        <v>10.3</v>
      </c>
    </row>
    <row r="169" spans="1:4" ht="20" customHeight="1" x14ac:dyDescent="0.35">
      <c r="A169" s="1" t="s">
        <v>215</v>
      </c>
      <c r="B169" s="1" t="s">
        <v>47</v>
      </c>
      <c r="C169" s="1">
        <v>16.3</v>
      </c>
      <c r="D169" s="1">
        <v>10.199999999999999</v>
      </c>
    </row>
    <row r="170" spans="1:4" ht="20" customHeight="1" x14ac:dyDescent="0.35">
      <c r="A170" s="1" t="s">
        <v>216</v>
      </c>
      <c r="B170" s="1" t="s">
        <v>47</v>
      </c>
      <c r="C170" s="1">
        <v>16.399999999999999</v>
      </c>
      <c r="D170" s="1">
        <v>7.12</v>
      </c>
    </row>
    <row r="171" spans="1:4" ht="20" customHeight="1" x14ac:dyDescent="0.35">
      <c r="A171" s="1" t="s">
        <v>217</v>
      </c>
      <c r="B171" s="1" t="s">
        <v>47</v>
      </c>
      <c r="C171" s="1">
        <v>16.3</v>
      </c>
      <c r="D171" s="1">
        <v>7.07</v>
      </c>
    </row>
    <row r="172" spans="1:4" ht="20" customHeight="1" x14ac:dyDescent="0.35">
      <c r="A172" s="1" t="s">
        <v>218</v>
      </c>
      <c r="B172" s="1" t="s">
        <v>47</v>
      </c>
      <c r="C172" s="1">
        <v>16.100000000000001</v>
      </c>
      <c r="D172" s="1">
        <v>7.04</v>
      </c>
    </row>
    <row r="173" spans="1:4" ht="20" customHeight="1" x14ac:dyDescent="0.35">
      <c r="A173" s="1" t="s">
        <v>219</v>
      </c>
      <c r="B173" s="1" t="s">
        <v>47</v>
      </c>
      <c r="C173" s="1">
        <v>16</v>
      </c>
      <c r="D173" s="1">
        <v>7</v>
      </c>
    </row>
    <row r="174" spans="1:4" ht="20" customHeight="1" x14ac:dyDescent="0.35">
      <c r="A174" s="1" t="s">
        <v>220</v>
      </c>
      <c r="B174" s="1" t="s">
        <v>47</v>
      </c>
      <c r="C174" s="1">
        <v>15.9</v>
      </c>
      <c r="D174" s="1">
        <v>6.99</v>
      </c>
    </row>
    <row r="175" spans="1:4" ht="20" customHeight="1" x14ac:dyDescent="0.35">
      <c r="A175" s="1" t="s">
        <v>221</v>
      </c>
      <c r="B175" s="1" t="s">
        <v>47</v>
      </c>
      <c r="C175" s="1">
        <v>15.9</v>
      </c>
      <c r="D175" s="1">
        <v>5.53</v>
      </c>
    </row>
    <row r="176" spans="1:4" ht="20" customHeight="1" x14ac:dyDescent="0.35">
      <c r="A176" s="1" t="s">
        <v>222</v>
      </c>
      <c r="B176" s="1" t="s">
        <v>47</v>
      </c>
      <c r="C176" s="1">
        <v>15.7</v>
      </c>
      <c r="D176" s="1">
        <v>5.5</v>
      </c>
    </row>
    <row r="177" spans="1:4" ht="20" customHeight="1" x14ac:dyDescent="0.35">
      <c r="A177" s="1" t="s">
        <v>223</v>
      </c>
      <c r="B177" s="1" t="s">
        <v>47</v>
      </c>
      <c r="C177" s="1">
        <v>23.6</v>
      </c>
      <c r="D177" s="1">
        <v>18.8</v>
      </c>
    </row>
    <row r="178" spans="1:4" ht="20" customHeight="1" x14ac:dyDescent="0.35">
      <c r="A178" s="1" t="s">
        <v>224</v>
      </c>
      <c r="B178" s="1" t="s">
        <v>47</v>
      </c>
      <c r="C178" s="1">
        <v>22.8</v>
      </c>
      <c r="D178" s="1">
        <v>18.600000000000001</v>
      </c>
    </row>
    <row r="179" spans="1:4" ht="20" customHeight="1" x14ac:dyDescent="0.35">
      <c r="A179" s="1" t="s">
        <v>225</v>
      </c>
      <c r="B179" s="1" t="s">
        <v>47</v>
      </c>
      <c r="C179" s="1">
        <v>22.4</v>
      </c>
      <c r="D179" s="1">
        <v>17.899999999999999</v>
      </c>
    </row>
    <row r="180" spans="1:4" ht="20" customHeight="1" x14ac:dyDescent="0.35">
      <c r="A180" s="1" t="s">
        <v>226</v>
      </c>
      <c r="B180" s="1" t="s">
        <v>47</v>
      </c>
      <c r="C180" s="1">
        <v>21.6</v>
      </c>
      <c r="D180" s="1">
        <v>17.7</v>
      </c>
    </row>
    <row r="181" spans="1:4" ht="20" customHeight="1" x14ac:dyDescent="0.35">
      <c r="A181" s="1" t="s">
        <v>227</v>
      </c>
      <c r="B181" s="1" t="s">
        <v>47</v>
      </c>
      <c r="C181" s="1">
        <v>20.9</v>
      </c>
      <c r="D181" s="1">
        <v>17.399999999999999</v>
      </c>
    </row>
    <row r="182" spans="1:4" ht="20" customHeight="1" x14ac:dyDescent="0.35">
      <c r="A182" s="1" t="s">
        <v>228</v>
      </c>
      <c r="B182" s="1" t="s">
        <v>47</v>
      </c>
      <c r="C182" s="1">
        <v>20.2</v>
      </c>
      <c r="D182" s="1">
        <v>17.2</v>
      </c>
    </row>
    <row r="183" spans="1:4" ht="20" customHeight="1" x14ac:dyDescent="0.35">
      <c r="A183" s="1" t="s">
        <v>229</v>
      </c>
      <c r="B183" s="1" t="s">
        <v>47</v>
      </c>
      <c r="C183" s="1">
        <v>19.600000000000001</v>
      </c>
      <c r="D183" s="1">
        <v>17</v>
      </c>
    </row>
    <row r="184" spans="1:4" ht="20" customHeight="1" x14ac:dyDescent="0.35">
      <c r="A184" s="1" t="s">
        <v>230</v>
      </c>
      <c r="B184" s="1" t="s">
        <v>47</v>
      </c>
      <c r="C184" s="1">
        <v>19</v>
      </c>
      <c r="D184" s="1">
        <v>16.8</v>
      </c>
    </row>
    <row r="185" spans="1:4" ht="20" customHeight="1" x14ac:dyDescent="0.35">
      <c r="A185" s="1" t="s">
        <v>231</v>
      </c>
      <c r="B185" s="1" t="s">
        <v>47</v>
      </c>
      <c r="C185" s="1">
        <v>18.7</v>
      </c>
      <c r="D185" s="1">
        <v>16.7</v>
      </c>
    </row>
    <row r="186" spans="1:4" ht="20" customHeight="1" x14ac:dyDescent="0.35">
      <c r="A186" s="1" t="s">
        <v>232</v>
      </c>
      <c r="B186" s="1" t="s">
        <v>47</v>
      </c>
      <c r="C186" s="1">
        <v>18.3</v>
      </c>
      <c r="D186" s="1">
        <v>16.600000000000001</v>
      </c>
    </row>
    <row r="187" spans="1:4" ht="20" customHeight="1" x14ac:dyDescent="0.35">
      <c r="A187" s="1" t="s">
        <v>233</v>
      </c>
      <c r="B187" s="1" t="s">
        <v>47</v>
      </c>
      <c r="C187" s="1">
        <v>17.899999999999999</v>
      </c>
      <c r="D187" s="1">
        <v>16.5</v>
      </c>
    </row>
    <row r="188" spans="1:4" ht="20" customHeight="1" x14ac:dyDescent="0.35">
      <c r="A188" s="1" t="s">
        <v>234</v>
      </c>
      <c r="B188" s="1" t="s">
        <v>47</v>
      </c>
      <c r="C188" s="1">
        <v>17.5</v>
      </c>
      <c r="D188" s="1">
        <v>16.399999999999999</v>
      </c>
    </row>
    <row r="189" spans="1:4" ht="20" customHeight="1" x14ac:dyDescent="0.35">
      <c r="A189" s="1" t="s">
        <v>235</v>
      </c>
      <c r="B189" s="1" t="s">
        <v>47</v>
      </c>
      <c r="C189" s="1">
        <v>17.100000000000001</v>
      </c>
      <c r="D189" s="1">
        <v>16.2</v>
      </c>
    </row>
    <row r="190" spans="1:4" ht="20" customHeight="1" x14ac:dyDescent="0.35">
      <c r="A190" s="1" t="s">
        <v>236</v>
      </c>
      <c r="B190" s="1" t="s">
        <v>47</v>
      </c>
      <c r="C190" s="1">
        <v>16.7</v>
      </c>
      <c r="D190" s="1">
        <v>16.100000000000001</v>
      </c>
    </row>
    <row r="191" spans="1:4" ht="20" customHeight="1" x14ac:dyDescent="0.35">
      <c r="A191" s="1" t="s">
        <v>237</v>
      </c>
      <c r="B191" s="1" t="s">
        <v>47</v>
      </c>
      <c r="C191" s="1">
        <v>16.399999999999999</v>
      </c>
      <c r="D191" s="1">
        <v>16</v>
      </c>
    </row>
    <row r="192" spans="1:4" ht="20" customHeight="1" x14ac:dyDescent="0.35">
      <c r="A192" s="1" t="s">
        <v>238</v>
      </c>
      <c r="B192" s="1" t="s">
        <v>47</v>
      </c>
      <c r="C192" s="1">
        <v>16</v>
      </c>
      <c r="D192" s="1">
        <v>15.9</v>
      </c>
    </row>
    <row r="193" spans="1:4" ht="20" customHeight="1" x14ac:dyDescent="0.35">
      <c r="A193" s="1" t="s">
        <v>239</v>
      </c>
      <c r="B193" s="1" t="s">
        <v>47</v>
      </c>
      <c r="C193" s="1">
        <v>15.7</v>
      </c>
      <c r="D193" s="1">
        <v>15.8</v>
      </c>
    </row>
    <row r="194" spans="1:4" ht="20" customHeight="1" x14ac:dyDescent="0.35">
      <c r="A194" s="1" t="s">
        <v>240</v>
      </c>
      <c r="B194" s="1" t="s">
        <v>47</v>
      </c>
      <c r="C194" s="1">
        <v>15.5</v>
      </c>
      <c r="D194" s="1">
        <v>15.7</v>
      </c>
    </row>
    <row r="195" spans="1:4" ht="20" customHeight="1" x14ac:dyDescent="0.35">
      <c r="A195" s="1" t="s">
        <v>241</v>
      </c>
      <c r="B195" s="1" t="s">
        <v>47</v>
      </c>
      <c r="C195" s="1">
        <v>15.2</v>
      </c>
      <c r="D195" s="1">
        <v>15.7</v>
      </c>
    </row>
    <row r="196" spans="1:4" ht="20" customHeight="1" x14ac:dyDescent="0.35">
      <c r="A196" s="1" t="s">
        <v>242</v>
      </c>
      <c r="B196" s="1" t="s">
        <v>47</v>
      </c>
      <c r="C196" s="1">
        <v>15</v>
      </c>
      <c r="D196" s="1">
        <v>15.6</v>
      </c>
    </row>
    <row r="197" spans="1:4" ht="20" customHeight="1" x14ac:dyDescent="0.35">
      <c r="A197" s="1" t="s">
        <v>243</v>
      </c>
      <c r="B197" s="1" t="s">
        <v>47</v>
      </c>
      <c r="C197" s="1">
        <v>14.8</v>
      </c>
      <c r="D197" s="1">
        <v>15.5</v>
      </c>
    </row>
    <row r="198" spans="1:4" ht="20" customHeight="1" x14ac:dyDescent="0.35">
      <c r="A198" s="1" t="s">
        <v>244</v>
      </c>
      <c r="B198" s="1" t="s">
        <v>47</v>
      </c>
      <c r="C198" s="1">
        <v>14.7</v>
      </c>
      <c r="D198" s="1">
        <v>14.7</v>
      </c>
    </row>
    <row r="199" spans="1:4" ht="20" customHeight="1" x14ac:dyDescent="0.35">
      <c r="A199" s="1" t="s">
        <v>245</v>
      </c>
      <c r="B199" s="1" t="s">
        <v>47</v>
      </c>
      <c r="C199" s="1">
        <v>14.5</v>
      </c>
      <c r="D199" s="1">
        <v>14.7</v>
      </c>
    </row>
    <row r="200" spans="1:4" ht="20" customHeight="1" x14ac:dyDescent="0.35">
      <c r="A200" s="1" t="s">
        <v>246</v>
      </c>
      <c r="B200" s="1" t="s">
        <v>47</v>
      </c>
      <c r="C200" s="1">
        <v>14.3</v>
      </c>
      <c r="D200" s="1">
        <v>14.6</v>
      </c>
    </row>
    <row r="201" spans="1:4" ht="20" customHeight="1" x14ac:dyDescent="0.35">
      <c r="A201" s="1" t="s">
        <v>247</v>
      </c>
      <c r="B201" s="1" t="s">
        <v>47</v>
      </c>
      <c r="C201" s="1">
        <v>14.2</v>
      </c>
      <c r="D201" s="1">
        <v>14.6</v>
      </c>
    </row>
    <row r="202" spans="1:4" ht="20" customHeight="1" x14ac:dyDescent="0.35">
      <c r="A202" s="1" t="s">
        <v>248</v>
      </c>
      <c r="B202" s="1" t="s">
        <v>47</v>
      </c>
      <c r="C202" s="1">
        <v>14</v>
      </c>
      <c r="D202" s="1">
        <v>14.5</v>
      </c>
    </row>
    <row r="203" spans="1:4" ht="20" customHeight="1" x14ac:dyDescent="0.35">
      <c r="A203" s="1" t="s">
        <v>249</v>
      </c>
      <c r="B203" s="1" t="s">
        <v>47</v>
      </c>
      <c r="C203" s="1">
        <v>14.3</v>
      </c>
      <c r="D203" s="1">
        <v>10.1</v>
      </c>
    </row>
    <row r="204" spans="1:4" ht="20" customHeight="1" x14ac:dyDescent="0.35">
      <c r="A204" s="1" t="s">
        <v>250</v>
      </c>
      <c r="B204" s="1" t="s">
        <v>47</v>
      </c>
      <c r="C204" s="1">
        <v>14.2</v>
      </c>
      <c r="D204" s="1">
        <v>10.1</v>
      </c>
    </row>
    <row r="205" spans="1:4" ht="20" customHeight="1" x14ac:dyDescent="0.35">
      <c r="A205" s="1" t="s">
        <v>251</v>
      </c>
      <c r="B205" s="1" t="s">
        <v>47</v>
      </c>
      <c r="C205" s="1">
        <v>14</v>
      </c>
      <c r="D205" s="1">
        <v>10</v>
      </c>
    </row>
    <row r="206" spans="1:4" ht="20" customHeight="1" x14ac:dyDescent="0.35">
      <c r="A206" s="1" t="s">
        <v>252</v>
      </c>
      <c r="B206" s="1" t="s">
        <v>47</v>
      </c>
      <c r="C206" s="1">
        <v>13.9</v>
      </c>
      <c r="D206" s="1">
        <v>10</v>
      </c>
    </row>
    <row r="207" spans="1:4" ht="20" customHeight="1" x14ac:dyDescent="0.35">
      <c r="A207" s="1" t="s">
        <v>253</v>
      </c>
      <c r="B207" s="1" t="s">
        <v>47</v>
      </c>
      <c r="C207" s="1">
        <v>13.9</v>
      </c>
      <c r="D207" s="1">
        <v>8.06</v>
      </c>
    </row>
    <row r="208" spans="1:4" ht="20" customHeight="1" x14ac:dyDescent="0.35">
      <c r="A208" s="1" t="s">
        <v>254</v>
      </c>
      <c r="B208" s="1" t="s">
        <v>47</v>
      </c>
      <c r="C208" s="1">
        <v>13.8</v>
      </c>
      <c r="D208" s="1">
        <v>8.0299999999999994</v>
      </c>
    </row>
    <row r="209" spans="1:4" ht="20" customHeight="1" x14ac:dyDescent="0.35">
      <c r="A209" s="1" t="s">
        <v>255</v>
      </c>
      <c r="B209" s="1" t="s">
        <v>47</v>
      </c>
      <c r="C209" s="1">
        <v>13.7</v>
      </c>
      <c r="D209" s="1">
        <v>8</v>
      </c>
    </row>
    <row r="210" spans="1:4" ht="20" customHeight="1" x14ac:dyDescent="0.35">
      <c r="A210" s="1" t="s">
        <v>256</v>
      </c>
      <c r="B210" s="1" t="s">
        <v>47</v>
      </c>
      <c r="C210" s="1">
        <v>14.1</v>
      </c>
      <c r="D210" s="1">
        <v>6.77</v>
      </c>
    </row>
    <row r="211" spans="1:4" ht="20" customHeight="1" x14ac:dyDescent="0.35">
      <c r="A211" s="1" t="s">
        <v>257</v>
      </c>
      <c r="B211" s="1" t="s">
        <v>47</v>
      </c>
      <c r="C211" s="1">
        <v>14</v>
      </c>
      <c r="D211" s="1">
        <v>6.75</v>
      </c>
    </row>
    <row r="212" spans="1:4" ht="20" customHeight="1" x14ac:dyDescent="0.35">
      <c r="A212" s="1" t="s">
        <v>258</v>
      </c>
      <c r="B212" s="1" t="s">
        <v>47</v>
      </c>
      <c r="C212" s="1">
        <v>13.8</v>
      </c>
      <c r="D212" s="1">
        <v>6.73</v>
      </c>
    </row>
    <row r="213" spans="1:4" ht="20" customHeight="1" x14ac:dyDescent="0.35">
      <c r="A213" s="1" t="s">
        <v>259</v>
      </c>
      <c r="B213" s="1" t="s">
        <v>47</v>
      </c>
      <c r="C213" s="1">
        <v>13.9</v>
      </c>
      <c r="D213" s="1">
        <v>5.03</v>
      </c>
    </row>
    <row r="214" spans="1:4" ht="20" customHeight="1" x14ac:dyDescent="0.35">
      <c r="A214" s="1" t="s">
        <v>260</v>
      </c>
      <c r="B214" s="1" t="s">
        <v>47</v>
      </c>
      <c r="C214" s="1">
        <v>13.7</v>
      </c>
      <c r="D214" s="1">
        <v>5</v>
      </c>
    </row>
    <row r="215" spans="1:4" ht="20" customHeight="1" x14ac:dyDescent="0.35">
      <c r="A215" s="1" t="s">
        <v>261</v>
      </c>
      <c r="B215" s="1" t="s">
        <v>47</v>
      </c>
      <c r="C215" s="1">
        <v>16.8</v>
      </c>
      <c r="D215" s="1">
        <v>13.4</v>
      </c>
    </row>
    <row r="216" spans="1:4" ht="20" customHeight="1" x14ac:dyDescent="0.35">
      <c r="A216" s="1" t="s">
        <v>262</v>
      </c>
      <c r="B216" s="1" t="s">
        <v>47</v>
      </c>
      <c r="C216" s="1">
        <v>16.3</v>
      </c>
      <c r="D216" s="1">
        <v>13.2</v>
      </c>
    </row>
    <row r="217" spans="1:4" ht="20" customHeight="1" x14ac:dyDescent="0.35">
      <c r="A217" s="1" t="s">
        <v>263</v>
      </c>
      <c r="B217" s="1" t="s">
        <v>47</v>
      </c>
      <c r="C217" s="1">
        <v>15.9</v>
      </c>
      <c r="D217" s="1">
        <v>13.1</v>
      </c>
    </row>
    <row r="218" spans="1:4" ht="20" customHeight="1" x14ac:dyDescent="0.35">
      <c r="A218" s="1" t="s">
        <v>264</v>
      </c>
      <c r="B218" s="1" t="s">
        <v>47</v>
      </c>
      <c r="C218" s="1">
        <v>15.4</v>
      </c>
      <c r="D218" s="1">
        <v>13</v>
      </c>
    </row>
    <row r="219" spans="1:4" ht="20" customHeight="1" x14ac:dyDescent="0.35">
      <c r="A219" s="1" t="s">
        <v>265</v>
      </c>
      <c r="B219" s="1" t="s">
        <v>47</v>
      </c>
      <c r="C219" s="1">
        <v>15.1</v>
      </c>
      <c r="D219" s="1">
        <v>12.9</v>
      </c>
    </row>
    <row r="220" spans="1:4" ht="20" customHeight="1" x14ac:dyDescent="0.35">
      <c r="A220" s="1" t="s">
        <v>266</v>
      </c>
      <c r="B220" s="1" t="s">
        <v>47</v>
      </c>
      <c r="C220" s="1">
        <v>14.7</v>
      </c>
      <c r="D220" s="1">
        <v>12.8</v>
      </c>
    </row>
    <row r="221" spans="1:4" ht="20" customHeight="1" x14ac:dyDescent="0.35">
      <c r="A221" s="1" t="s">
        <v>267</v>
      </c>
      <c r="B221" s="1" t="s">
        <v>47</v>
      </c>
      <c r="C221" s="1">
        <v>14.4</v>
      </c>
      <c r="D221" s="1">
        <v>12.7</v>
      </c>
    </row>
    <row r="222" spans="1:4" ht="20" customHeight="1" x14ac:dyDescent="0.35">
      <c r="A222" s="1" t="s">
        <v>268</v>
      </c>
      <c r="B222" s="1" t="s">
        <v>47</v>
      </c>
      <c r="C222" s="1">
        <v>14</v>
      </c>
      <c r="D222" s="1">
        <v>12.6</v>
      </c>
    </row>
    <row r="223" spans="1:4" ht="20" customHeight="1" x14ac:dyDescent="0.35">
      <c r="A223" s="1" t="s">
        <v>269</v>
      </c>
      <c r="B223" s="1" t="s">
        <v>47</v>
      </c>
      <c r="C223" s="1">
        <v>13.7</v>
      </c>
      <c r="D223" s="1">
        <v>12.5</v>
      </c>
    </row>
    <row r="224" spans="1:4" ht="20" customHeight="1" x14ac:dyDescent="0.35">
      <c r="A224" s="1" t="s">
        <v>270</v>
      </c>
      <c r="B224" s="1" t="s">
        <v>47</v>
      </c>
      <c r="C224" s="1">
        <v>13.4</v>
      </c>
      <c r="D224" s="1">
        <v>12.4</v>
      </c>
    </row>
    <row r="225" spans="1:4" ht="20" customHeight="1" x14ac:dyDescent="0.35">
      <c r="A225" s="1" t="s">
        <v>271</v>
      </c>
      <c r="B225" s="1" t="s">
        <v>47</v>
      </c>
      <c r="C225" s="1">
        <v>13.1</v>
      </c>
      <c r="D225" s="1">
        <v>12.3</v>
      </c>
    </row>
    <row r="226" spans="1:4" ht="20" customHeight="1" x14ac:dyDescent="0.35">
      <c r="A226" s="1" t="s">
        <v>272</v>
      </c>
      <c r="B226" s="1" t="s">
        <v>47</v>
      </c>
      <c r="C226" s="1">
        <v>12.9</v>
      </c>
      <c r="D226" s="1">
        <v>12.2</v>
      </c>
    </row>
    <row r="227" spans="1:4" ht="20" customHeight="1" x14ac:dyDescent="0.35">
      <c r="A227" s="1" t="s">
        <v>273</v>
      </c>
      <c r="B227" s="1" t="s">
        <v>47</v>
      </c>
      <c r="C227" s="1">
        <v>12.7</v>
      </c>
      <c r="D227" s="1">
        <v>12.2</v>
      </c>
    </row>
    <row r="228" spans="1:4" ht="20" customHeight="1" x14ac:dyDescent="0.35">
      <c r="A228" s="1" t="s">
        <v>274</v>
      </c>
      <c r="B228" s="1" t="s">
        <v>47</v>
      </c>
      <c r="C228" s="1">
        <v>12.5</v>
      </c>
      <c r="D228" s="1">
        <v>12.1</v>
      </c>
    </row>
    <row r="229" spans="1:4" ht="20" customHeight="1" x14ac:dyDescent="0.35">
      <c r="A229" s="1" t="s">
        <v>275</v>
      </c>
      <c r="B229" s="1" t="s">
        <v>47</v>
      </c>
      <c r="C229" s="1">
        <v>12.4</v>
      </c>
      <c r="D229" s="1">
        <v>12.1</v>
      </c>
    </row>
    <row r="230" spans="1:4" ht="20" customHeight="1" x14ac:dyDescent="0.35">
      <c r="A230" s="1" t="s">
        <v>276</v>
      </c>
      <c r="B230" s="1" t="s">
        <v>47</v>
      </c>
      <c r="C230" s="1">
        <v>12.3</v>
      </c>
      <c r="D230" s="1">
        <v>12</v>
      </c>
    </row>
    <row r="231" spans="1:4" ht="20" customHeight="1" x14ac:dyDescent="0.35">
      <c r="A231" s="1" t="s">
        <v>277</v>
      </c>
      <c r="B231" s="1" t="s">
        <v>47</v>
      </c>
      <c r="C231" s="1">
        <v>12.1</v>
      </c>
      <c r="D231" s="1">
        <v>12</v>
      </c>
    </row>
    <row r="232" spans="1:4" ht="20" customHeight="1" x14ac:dyDescent="0.35">
      <c r="A232" s="1" t="s">
        <v>278</v>
      </c>
      <c r="B232" s="1" t="s">
        <v>47</v>
      </c>
      <c r="C232" s="1">
        <v>12.2</v>
      </c>
      <c r="D232" s="1">
        <v>10</v>
      </c>
    </row>
    <row r="233" spans="1:4" ht="20" customHeight="1" x14ac:dyDescent="0.35">
      <c r="A233" s="1" t="s">
        <v>279</v>
      </c>
      <c r="B233" s="1" t="s">
        <v>47</v>
      </c>
      <c r="C233" s="1">
        <v>12.1</v>
      </c>
      <c r="D233" s="1">
        <v>10</v>
      </c>
    </row>
    <row r="234" spans="1:4" ht="20" customHeight="1" x14ac:dyDescent="0.35">
      <c r="A234" s="1" t="s">
        <v>280</v>
      </c>
      <c r="B234" s="1" t="s">
        <v>47</v>
      </c>
      <c r="C234" s="1">
        <v>12.2</v>
      </c>
      <c r="D234" s="1">
        <v>8.08</v>
      </c>
    </row>
    <row r="235" spans="1:4" ht="20" customHeight="1" x14ac:dyDescent="0.35">
      <c r="A235" s="1" t="s">
        <v>281</v>
      </c>
      <c r="B235" s="1" t="s">
        <v>47</v>
      </c>
      <c r="C235" s="1">
        <v>12.1</v>
      </c>
      <c r="D235" s="1">
        <v>8.0500000000000007</v>
      </c>
    </row>
    <row r="236" spans="1:4" ht="20" customHeight="1" x14ac:dyDescent="0.35">
      <c r="A236" s="1" t="s">
        <v>282</v>
      </c>
      <c r="B236" s="1" t="s">
        <v>47</v>
      </c>
      <c r="C236" s="1">
        <v>11.9</v>
      </c>
      <c r="D236" s="1">
        <v>8.01</v>
      </c>
    </row>
    <row r="237" spans="1:4" ht="20" customHeight="1" x14ac:dyDescent="0.35">
      <c r="A237" s="1" t="s">
        <v>283</v>
      </c>
      <c r="B237" s="1" t="s">
        <v>47</v>
      </c>
      <c r="C237" s="1">
        <v>12.5</v>
      </c>
      <c r="D237" s="1">
        <v>6.56</v>
      </c>
    </row>
    <row r="238" spans="1:4" ht="20" customHeight="1" x14ac:dyDescent="0.35">
      <c r="A238" s="1" t="s">
        <v>284</v>
      </c>
      <c r="B238" s="1" t="s">
        <v>47</v>
      </c>
      <c r="C238" s="1">
        <v>12.3</v>
      </c>
      <c r="D238" s="1">
        <v>6.52</v>
      </c>
    </row>
    <row r="239" spans="1:4" ht="20" customHeight="1" x14ac:dyDescent="0.35">
      <c r="A239" s="1" t="s">
        <v>285</v>
      </c>
      <c r="B239" s="1" t="s">
        <v>47</v>
      </c>
      <c r="C239" s="1">
        <v>12.2</v>
      </c>
      <c r="D239" s="1">
        <v>6.49</v>
      </c>
    </row>
    <row r="240" spans="1:4" ht="20" customHeight="1" x14ac:dyDescent="0.35">
      <c r="A240" s="1" t="s">
        <v>286</v>
      </c>
      <c r="B240" s="1" t="s">
        <v>47</v>
      </c>
      <c r="C240" s="1">
        <v>12.3</v>
      </c>
      <c r="D240" s="1">
        <v>4.03</v>
      </c>
    </row>
    <row r="241" spans="1:4" ht="20" customHeight="1" x14ac:dyDescent="0.35">
      <c r="A241" s="1" t="s">
        <v>287</v>
      </c>
      <c r="B241" s="1" t="s">
        <v>47</v>
      </c>
      <c r="C241" s="1">
        <v>12.2</v>
      </c>
      <c r="D241" s="1">
        <v>4.01</v>
      </c>
    </row>
    <row r="242" spans="1:4" ht="20" customHeight="1" x14ac:dyDescent="0.35">
      <c r="A242" s="1" t="s">
        <v>288</v>
      </c>
      <c r="B242" s="1" t="s">
        <v>47</v>
      </c>
      <c r="C242" s="1">
        <v>12</v>
      </c>
      <c r="D242" s="1">
        <v>3.99</v>
      </c>
    </row>
    <row r="243" spans="1:4" ht="20" customHeight="1" x14ac:dyDescent="0.35">
      <c r="A243" s="1" t="s">
        <v>289</v>
      </c>
      <c r="B243" s="1" t="s">
        <v>47</v>
      </c>
      <c r="C243" s="1">
        <v>11.9</v>
      </c>
      <c r="D243" s="1">
        <v>3.97</v>
      </c>
    </row>
    <row r="244" spans="1:4" ht="20" customHeight="1" x14ac:dyDescent="0.35">
      <c r="A244" s="1" t="s">
        <v>290</v>
      </c>
      <c r="B244" s="1" t="s">
        <v>47</v>
      </c>
      <c r="C244" s="1">
        <v>11.4</v>
      </c>
      <c r="D244" s="1">
        <v>10.4</v>
      </c>
    </row>
    <row r="245" spans="1:4" ht="20" customHeight="1" x14ac:dyDescent="0.35">
      <c r="A245" s="1" t="s">
        <v>291</v>
      </c>
      <c r="B245" s="1" t="s">
        <v>47</v>
      </c>
      <c r="C245" s="1">
        <v>11.1</v>
      </c>
      <c r="D245" s="1">
        <v>10.3</v>
      </c>
    </row>
    <row r="246" spans="1:4" ht="20" customHeight="1" x14ac:dyDescent="0.35">
      <c r="A246" s="1" t="s">
        <v>292</v>
      </c>
      <c r="B246" s="1" t="s">
        <v>47</v>
      </c>
      <c r="C246" s="1">
        <v>10.8</v>
      </c>
      <c r="D246" s="1">
        <v>10.3</v>
      </c>
    </row>
    <row r="247" spans="1:4" ht="20" customHeight="1" x14ac:dyDescent="0.35">
      <c r="A247" s="1" t="s">
        <v>293</v>
      </c>
      <c r="B247" s="1" t="s">
        <v>47</v>
      </c>
      <c r="C247" s="1">
        <v>10.6</v>
      </c>
      <c r="D247" s="1">
        <v>10.199999999999999</v>
      </c>
    </row>
    <row r="248" spans="1:4" ht="20" customHeight="1" x14ac:dyDescent="0.35">
      <c r="A248" s="1" t="s">
        <v>294</v>
      </c>
      <c r="B248" s="1" t="s">
        <v>47</v>
      </c>
      <c r="C248" s="1">
        <v>10.4</v>
      </c>
      <c r="D248" s="1">
        <v>10.1</v>
      </c>
    </row>
    <row r="249" spans="1:4" ht="20" customHeight="1" x14ac:dyDescent="0.35">
      <c r="A249" s="1" t="s">
        <v>295</v>
      </c>
      <c r="B249" s="1" t="s">
        <v>47</v>
      </c>
      <c r="C249" s="1">
        <v>10.199999999999999</v>
      </c>
      <c r="D249" s="1">
        <v>10.1</v>
      </c>
    </row>
    <row r="250" spans="1:4" ht="20" customHeight="1" x14ac:dyDescent="0.35">
      <c r="A250" s="1" t="s">
        <v>296</v>
      </c>
      <c r="B250" s="1" t="s">
        <v>47</v>
      </c>
      <c r="C250" s="1">
        <v>10.1</v>
      </c>
      <c r="D250" s="1">
        <v>10</v>
      </c>
    </row>
    <row r="251" spans="1:4" ht="20" customHeight="1" x14ac:dyDescent="0.35">
      <c r="A251" s="1" t="s">
        <v>297</v>
      </c>
      <c r="B251" s="1" t="s">
        <v>47</v>
      </c>
      <c r="C251" s="1">
        <v>10</v>
      </c>
      <c r="D251" s="1">
        <v>10</v>
      </c>
    </row>
    <row r="252" spans="1:4" ht="20" customHeight="1" x14ac:dyDescent="0.35">
      <c r="A252" s="1" t="s">
        <v>298</v>
      </c>
      <c r="B252" s="1" t="s">
        <v>47</v>
      </c>
      <c r="C252" s="1">
        <v>10.1</v>
      </c>
      <c r="D252" s="1">
        <v>8.02</v>
      </c>
    </row>
    <row r="253" spans="1:4" ht="20" customHeight="1" x14ac:dyDescent="0.35">
      <c r="A253" s="1" t="s">
        <v>299</v>
      </c>
      <c r="B253" s="1" t="s">
        <v>47</v>
      </c>
      <c r="C253" s="1">
        <v>9.92</v>
      </c>
      <c r="D253" s="1">
        <v>7.99</v>
      </c>
    </row>
    <row r="254" spans="1:4" ht="20" customHeight="1" x14ac:dyDescent="0.35">
      <c r="A254" s="1" t="s">
        <v>300</v>
      </c>
      <c r="B254" s="1" t="s">
        <v>47</v>
      </c>
      <c r="C254" s="1">
        <v>9.73</v>
      </c>
      <c r="D254" s="1">
        <v>7.96</v>
      </c>
    </row>
    <row r="255" spans="1:4" ht="20" customHeight="1" x14ac:dyDescent="0.35">
      <c r="A255" s="1" t="s">
        <v>301</v>
      </c>
      <c r="B255" s="1" t="s">
        <v>47</v>
      </c>
      <c r="C255" s="1">
        <v>10.5</v>
      </c>
      <c r="D255" s="1">
        <v>5.81</v>
      </c>
    </row>
    <row r="256" spans="1:4" ht="20" customHeight="1" x14ac:dyDescent="0.35">
      <c r="A256" s="1" t="s">
        <v>302</v>
      </c>
      <c r="B256" s="1" t="s">
        <v>47</v>
      </c>
      <c r="C256" s="1">
        <v>10.3</v>
      </c>
      <c r="D256" s="1">
        <v>5.77</v>
      </c>
    </row>
    <row r="257" spans="1:4" ht="20" customHeight="1" x14ac:dyDescent="0.35">
      <c r="A257" s="1" t="s">
        <v>303</v>
      </c>
      <c r="B257" s="1" t="s">
        <v>47</v>
      </c>
      <c r="C257" s="1">
        <v>10.199999999999999</v>
      </c>
      <c r="D257" s="1">
        <v>5.75</v>
      </c>
    </row>
    <row r="258" spans="1:4" ht="20" customHeight="1" x14ac:dyDescent="0.35">
      <c r="A258" s="1" t="s">
        <v>304</v>
      </c>
      <c r="B258" s="1" t="s">
        <v>47</v>
      </c>
      <c r="C258" s="1">
        <v>10.199999999999999</v>
      </c>
      <c r="D258" s="1">
        <v>4.0199999999999996</v>
      </c>
    </row>
    <row r="259" spans="1:4" ht="20" customHeight="1" x14ac:dyDescent="0.35">
      <c r="A259" s="1" t="s">
        <v>305</v>
      </c>
      <c r="B259" s="1" t="s">
        <v>47</v>
      </c>
      <c r="C259" s="1">
        <v>10.1</v>
      </c>
      <c r="D259" s="1">
        <v>4.01</v>
      </c>
    </row>
    <row r="260" spans="1:4" ht="20" customHeight="1" x14ac:dyDescent="0.35">
      <c r="A260" s="1" t="s">
        <v>306</v>
      </c>
      <c r="B260" s="1" t="s">
        <v>47</v>
      </c>
      <c r="C260" s="1">
        <v>9.99</v>
      </c>
      <c r="D260" s="1">
        <v>4</v>
      </c>
    </row>
    <row r="261" spans="1:4" ht="20" customHeight="1" x14ac:dyDescent="0.35">
      <c r="A261" s="1" t="s">
        <v>307</v>
      </c>
      <c r="B261" s="1" t="s">
        <v>47</v>
      </c>
      <c r="C261" s="1">
        <v>9.8699999999999992</v>
      </c>
      <c r="D261" s="1">
        <v>3.96</v>
      </c>
    </row>
    <row r="262" spans="1:4" ht="20" customHeight="1" x14ac:dyDescent="0.35">
      <c r="A262" s="1" t="s">
        <v>308</v>
      </c>
      <c r="B262" s="1" t="s">
        <v>47</v>
      </c>
      <c r="C262" s="1">
        <v>9</v>
      </c>
      <c r="D262" s="1">
        <v>8.2799999999999994</v>
      </c>
    </row>
    <row r="263" spans="1:4" ht="20" customHeight="1" x14ac:dyDescent="0.35">
      <c r="A263" s="1" t="s">
        <v>309</v>
      </c>
      <c r="B263" s="1" t="s">
        <v>47</v>
      </c>
      <c r="C263" s="1">
        <v>8.75</v>
      </c>
      <c r="D263" s="1">
        <v>8.2200000000000006</v>
      </c>
    </row>
    <row r="264" spans="1:4" ht="20" customHeight="1" x14ac:dyDescent="0.35">
      <c r="A264" s="1" t="s">
        <v>310</v>
      </c>
      <c r="B264" s="1" t="s">
        <v>47</v>
      </c>
      <c r="C264" s="1">
        <v>8.5</v>
      </c>
      <c r="D264" s="1">
        <v>8.11</v>
      </c>
    </row>
    <row r="265" spans="1:4" ht="20" customHeight="1" x14ac:dyDescent="0.35">
      <c r="A265" s="1" t="s">
        <v>311</v>
      </c>
      <c r="B265" s="1" t="s">
        <v>47</v>
      </c>
      <c r="C265" s="1">
        <v>8.25</v>
      </c>
      <c r="D265" s="1">
        <v>8.07</v>
      </c>
    </row>
    <row r="266" spans="1:4" ht="20" customHeight="1" x14ac:dyDescent="0.35">
      <c r="A266" s="1" t="s">
        <v>312</v>
      </c>
      <c r="B266" s="1" t="s">
        <v>47</v>
      </c>
      <c r="C266" s="1">
        <v>8.1199999999999992</v>
      </c>
      <c r="D266" s="1">
        <v>8.02</v>
      </c>
    </row>
    <row r="267" spans="1:4" ht="20" customHeight="1" x14ac:dyDescent="0.35">
      <c r="A267" s="1" t="s">
        <v>313</v>
      </c>
      <c r="B267" s="1" t="s">
        <v>47</v>
      </c>
      <c r="C267" s="1">
        <v>8</v>
      </c>
      <c r="D267" s="1">
        <v>8</v>
      </c>
    </row>
    <row r="268" spans="1:4" ht="20" customHeight="1" x14ac:dyDescent="0.35">
      <c r="A268" s="1" t="s">
        <v>314</v>
      </c>
      <c r="B268" s="1" t="s">
        <v>47</v>
      </c>
      <c r="C268" s="1">
        <v>8.06</v>
      </c>
      <c r="D268" s="1">
        <v>6.54</v>
      </c>
    </row>
    <row r="269" spans="1:4" ht="20" customHeight="1" x14ac:dyDescent="0.35">
      <c r="A269" s="1" t="s">
        <v>315</v>
      </c>
      <c r="B269" s="1" t="s">
        <v>47</v>
      </c>
      <c r="C269" s="1">
        <v>7.93</v>
      </c>
      <c r="D269" s="1">
        <v>6.5</v>
      </c>
    </row>
    <row r="270" spans="1:4" ht="20" customHeight="1" x14ac:dyDescent="0.35">
      <c r="A270" s="1" t="s">
        <v>316</v>
      </c>
      <c r="B270" s="1" t="s">
        <v>47</v>
      </c>
      <c r="C270" s="1">
        <v>8.2799999999999994</v>
      </c>
      <c r="D270" s="1">
        <v>5.27</v>
      </c>
    </row>
    <row r="271" spans="1:4" ht="20" customHeight="1" x14ac:dyDescent="0.35">
      <c r="A271" s="1" t="s">
        <v>317</v>
      </c>
      <c r="B271" s="1" t="s">
        <v>47</v>
      </c>
      <c r="C271" s="1">
        <v>8.14</v>
      </c>
      <c r="D271" s="1">
        <v>5.25</v>
      </c>
    </row>
    <row r="272" spans="1:4" ht="20" customHeight="1" x14ac:dyDescent="0.35">
      <c r="A272" s="1" t="s">
        <v>318</v>
      </c>
      <c r="B272" s="1" t="s">
        <v>47</v>
      </c>
      <c r="C272" s="1">
        <v>8.11</v>
      </c>
      <c r="D272" s="1">
        <v>4.0199999999999996</v>
      </c>
    </row>
    <row r="273" spans="1:4" ht="20" customHeight="1" x14ac:dyDescent="0.35">
      <c r="A273" s="1" t="s">
        <v>319</v>
      </c>
      <c r="B273" s="1" t="s">
        <v>47</v>
      </c>
      <c r="C273" s="1">
        <v>7.99</v>
      </c>
      <c r="D273" s="1">
        <v>4</v>
      </c>
    </row>
    <row r="274" spans="1:4" ht="20" customHeight="1" x14ac:dyDescent="0.35">
      <c r="A274" s="1" t="s">
        <v>320</v>
      </c>
      <c r="B274" s="1" t="s">
        <v>47</v>
      </c>
      <c r="C274" s="1">
        <v>7.89</v>
      </c>
      <c r="D274" s="1">
        <v>3.94</v>
      </c>
    </row>
    <row r="275" spans="1:4" ht="20" customHeight="1" x14ac:dyDescent="0.35">
      <c r="A275" s="1" t="s">
        <v>321</v>
      </c>
      <c r="B275" s="1" t="s">
        <v>47</v>
      </c>
      <c r="C275" s="1">
        <v>6.38</v>
      </c>
      <c r="D275" s="1">
        <v>6.08</v>
      </c>
    </row>
    <row r="276" spans="1:4" ht="20" customHeight="1" x14ac:dyDescent="0.35">
      <c r="A276" s="1" t="s">
        <v>322</v>
      </c>
      <c r="B276" s="1" t="s">
        <v>47</v>
      </c>
      <c r="C276" s="1">
        <v>6.2</v>
      </c>
      <c r="D276" s="1">
        <v>6.02</v>
      </c>
    </row>
    <row r="277" spans="1:4" ht="20" customHeight="1" x14ac:dyDescent="0.35">
      <c r="A277" s="1" t="s">
        <v>323</v>
      </c>
      <c r="B277" s="1" t="s">
        <v>47</v>
      </c>
      <c r="C277" s="1">
        <v>5.99</v>
      </c>
      <c r="D277" s="1">
        <v>5.99</v>
      </c>
    </row>
    <row r="278" spans="1:4" ht="20" customHeight="1" x14ac:dyDescent="0.35">
      <c r="A278" s="1" t="s">
        <v>324</v>
      </c>
      <c r="B278" s="1" t="s">
        <v>47</v>
      </c>
      <c r="C278" s="1">
        <v>6.28</v>
      </c>
      <c r="D278" s="1">
        <v>4.03</v>
      </c>
    </row>
    <row r="279" spans="1:4" ht="20" customHeight="1" x14ac:dyDescent="0.35">
      <c r="A279" s="1" t="s">
        <v>325</v>
      </c>
      <c r="B279" s="1" t="s">
        <v>47</v>
      </c>
      <c r="C279" s="1">
        <v>6.03</v>
      </c>
      <c r="D279" s="1">
        <v>4</v>
      </c>
    </row>
    <row r="280" spans="1:4" ht="20" customHeight="1" x14ac:dyDescent="0.35">
      <c r="A280" s="1" t="s">
        <v>326</v>
      </c>
      <c r="B280" s="1" t="s">
        <v>47</v>
      </c>
      <c r="C280" s="1">
        <v>5.9</v>
      </c>
      <c r="D280" s="1">
        <v>3.94</v>
      </c>
    </row>
    <row r="281" spans="1:4" ht="20" customHeight="1" x14ac:dyDescent="0.35">
      <c r="A281" s="1" t="s">
        <v>327</v>
      </c>
      <c r="B281" s="1" t="s">
        <v>47</v>
      </c>
      <c r="C281" s="1">
        <v>5.83</v>
      </c>
      <c r="D281" s="1">
        <v>3.94</v>
      </c>
    </row>
    <row r="282" spans="1:4" ht="20" customHeight="1" x14ac:dyDescent="0.35">
      <c r="A282" s="1" t="s">
        <v>328</v>
      </c>
      <c r="B282" s="1" t="s">
        <v>47</v>
      </c>
      <c r="C282" s="1">
        <v>5.15</v>
      </c>
      <c r="D282" s="1">
        <v>5.03</v>
      </c>
    </row>
    <row r="283" spans="1:4" ht="20" customHeight="1" x14ac:dyDescent="0.35">
      <c r="A283" s="1" t="s">
        <v>329</v>
      </c>
      <c r="B283" s="1" t="s">
        <v>47</v>
      </c>
      <c r="C283" s="1">
        <v>5.01</v>
      </c>
      <c r="D283" s="1">
        <v>5</v>
      </c>
    </row>
    <row r="284" spans="1:4" ht="20" customHeight="1" x14ac:dyDescent="0.35">
      <c r="A284" s="1" t="s">
        <v>330</v>
      </c>
      <c r="B284" s="1" t="s">
        <v>47</v>
      </c>
      <c r="C284" s="1">
        <v>4.16</v>
      </c>
      <c r="D284" s="1">
        <v>4.0599999999999996</v>
      </c>
    </row>
    <row r="285" spans="1:4" ht="20" customHeight="1" x14ac:dyDescent="0.35">
      <c r="A285" s="13" t="s">
        <v>336</v>
      </c>
      <c r="B285" s="13" t="s">
        <v>335</v>
      </c>
      <c r="C285" s="15">
        <v>24</v>
      </c>
      <c r="D285" s="15">
        <v>12</v>
      </c>
    </row>
    <row r="286" spans="1:4" ht="20" customHeight="1" x14ac:dyDescent="0.35">
      <c r="A286" s="13" t="s">
        <v>337</v>
      </c>
      <c r="B286" s="13" t="s">
        <v>335</v>
      </c>
      <c r="C286" s="15">
        <v>24</v>
      </c>
      <c r="D286" s="15">
        <v>12</v>
      </c>
    </row>
    <row r="287" spans="1:4" ht="20" customHeight="1" x14ac:dyDescent="0.35">
      <c r="A287" s="13" t="s">
        <v>338</v>
      </c>
      <c r="B287" s="13" t="s">
        <v>335</v>
      </c>
      <c r="C287" s="15">
        <v>24</v>
      </c>
      <c r="D287" s="15">
        <v>12</v>
      </c>
    </row>
    <row r="288" spans="1:4" ht="20" customHeight="1" x14ac:dyDescent="0.35">
      <c r="A288" s="13" t="s">
        <v>339</v>
      </c>
      <c r="B288" s="13" t="s">
        <v>335</v>
      </c>
      <c r="C288" s="15">
        <v>22</v>
      </c>
      <c r="D288" s="15">
        <v>22</v>
      </c>
    </row>
    <row r="289" spans="1:4" ht="20" customHeight="1" x14ac:dyDescent="0.35">
      <c r="A289" s="13" t="s">
        <v>340</v>
      </c>
      <c r="B289" s="13" t="s">
        <v>335</v>
      </c>
      <c r="C289" s="15">
        <v>22</v>
      </c>
      <c r="D289" s="15">
        <v>22</v>
      </c>
    </row>
    <row r="290" spans="1:4" ht="20" customHeight="1" x14ac:dyDescent="0.35">
      <c r="A290" s="13" t="s">
        <v>341</v>
      </c>
      <c r="B290" s="13" t="s">
        <v>335</v>
      </c>
      <c r="C290" s="15">
        <v>20</v>
      </c>
      <c r="D290" s="15">
        <v>20</v>
      </c>
    </row>
    <row r="291" spans="1:4" ht="20" customHeight="1" x14ac:dyDescent="0.35">
      <c r="A291" s="13" t="s">
        <v>342</v>
      </c>
      <c r="B291" s="13" t="s">
        <v>335</v>
      </c>
      <c r="C291" s="15">
        <v>20</v>
      </c>
      <c r="D291" s="15">
        <v>20</v>
      </c>
    </row>
    <row r="292" spans="1:4" ht="20" customHeight="1" x14ac:dyDescent="0.35">
      <c r="A292" s="13" t="s">
        <v>343</v>
      </c>
      <c r="B292" s="13" t="s">
        <v>335</v>
      </c>
      <c r="C292" s="15">
        <v>20</v>
      </c>
      <c r="D292" s="15">
        <v>20</v>
      </c>
    </row>
    <row r="293" spans="1:4" ht="20" customHeight="1" x14ac:dyDescent="0.35">
      <c r="A293" s="13" t="s">
        <v>344</v>
      </c>
      <c r="B293" s="13" t="s">
        <v>335</v>
      </c>
      <c r="C293" s="15">
        <v>20</v>
      </c>
      <c r="D293" s="15">
        <v>20</v>
      </c>
    </row>
    <row r="294" spans="1:4" ht="20" customHeight="1" x14ac:dyDescent="0.35">
      <c r="A294" s="13" t="s">
        <v>345</v>
      </c>
      <c r="B294" s="13" t="s">
        <v>335</v>
      </c>
      <c r="C294" s="15">
        <v>20</v>
      </c>
      <c r="D294" s="15">
        <v>12</v>
      </c>
    </row>
    <row r="295" spans="1:4" ht="20" customHeight="1" x14ac:dyDescent="0.35">
      <c r="A295" s="13" t="s">
        <v>346</v>
      </c>
      <c r="B295" s="13" t="s">
        <v>335</v>
      </c>
      <c r="C295" s="15">
        <v>20</v>
      </c>
      <c r="D295" s="15">
        <v>12</v>
      </c>
    </row>
    <row r="296" spans="1:4" ht="20" customHeight="1" x14ac:dyDescent="0.35">
      <c r="A296" s="13" t="s">
        <v>347</v>
      </c>
      <c r="B296" s="13" t="s">
        <v>335</v>
      </c>
      <c r="C296" s="15">
        <v>20</v>
      </c>
      <c r="D296" s="15">
        <v>12</v>
      </c>
    </row>
    <row r="297" spans="1:4" ht="20" customHeight="1" x14ac:dyDescent="0.35">
      <c r="A297" s="13" t="s">
        <v>348</v>
      </c>
      <c r="B297" s="13" t="s">
        <v>335</v>
      </c>
      <c r="C297" s="15">
        <v>20</v>
      </c>
      <c r="D297" s="15">
        <v>12</v>
      </c>
    </row>
    <row r="298" spans="1:4" ht="20" customHeight="1" x14ac:dyDescent="0.35">
      <c r="A298" s="13" t="s">
        <v>349</v>
      </c>
      <c r="B298" s="13" t="s">
        <v>335</v>
      </c>
      <c r="C298" s="15">
        <v>20</v>
      </c>
      <c r="D298" s="15">
        <v>12</v>
      </c>
    </row>
    <row r="299" spans="1:4" ht="20" customHeight="1" x14ac:dyDescent="0.35">
      <c r="A299" s="13" t="s">
        <v>350</v>
      </c>
      <c r="B299" s="13" t="s">
        <v>335</v>
      </c>
      <c r="C299" s="15">
        <v>20</v>
      </c>
      <c r="D299" s="16">
        <v>8</v>
      </c>
    </row>
    <row r="300" spans="1:4" ht="20" customHeight="1" x14ac:dyDescent="0.35">
      <c r="A300" s="13" t="s">
        <v>351</v>
      </c>
      <c r="B300" s="13" t="s">
        <v>335</v>
      </c>
      <c r="C300" s="15">
        <v>20</v>
      </c>
      <c r="D300" s="16">
        <v>8</v>
      </c>
    </row>
    <row r="301" spans="1:4" ht="20" customHeight="1" x14ac:dyDescent="0.35">
      <c r="A301" s="13" t="s">
        <v>352</v>
      </c>
      <c r="B301" s="13" t="s">
        <v>335</v>
      </c>
      <c r="C301" s="15">
        <v>20</v>
      </c>
      <c r="D301" s="16">
        <v>8</v>
      </c>
    </row>
    <row r="302" spans="1:4" ht="20" customHeight="1" x14ac:dyDescent="0.35">
      <c r="A302" s="13" t="s">
        <v>353</v>
      </c>
      <c r="B302" s="13" t="s">
        <v>335</v>
      </c>
      <c r="C302" s="15">
        <v>20</v>
      </c>
      <c r="D302" s="16">
        <v>8</v>
      </c>
    </row>
    <row r="303" spans="1:4" ht="20" customHeight="1" x14ac:dyDescent="0.35">
      <c r="A303" s="13" t="s">
        <v>354</v>
      </c>
      <c r="B303" s="13" t="s">
        <v>335</v>
      </c>
      <c r="C303" s="15">
        <v>20</v>
      </c>
      <c r="D303" s="16">
        <v>4</v>
      </c>
    </row>
    <row r="304" spans="1:4" ht="20" customHeight="1" x14ac:dyDescent="0.35">
      <c r="A304" s="13" t="s">
        <v>355</v>
      </c>
      <c r="B304" s="13" t="s">
        <v>335</v>
      </c>
      <c r="C304" s="15">
        <v>20</v>
      </c>
      <c r="D304" s="16">
        <v>4</v>
      </c>
    </row>
    <row r="305" spans="1:4" ht="20" customHeight="1" x14ac:dyDescent="0.35">
      <c r="A305" s="13" t="s">
        <v>356</v>
      </c>
      <c r="B305" s="13" t="s">
        <v>335</v>
      </c>
      <c r="C305" s="15">
        <v>20</v>
      </c>
      <c r="D305" s="16">
        <v>4</v>
      </c>
    </row>
    <row r="306" spans="1:4" ht="20" customHeight="1" x14ac:dyDescent="0.35">
      <c r="A306" s="13" t="s">
        <v>357</v>
      </c>
      <c r="B306" s="13" t="s">
        <v>335</v>
      </c>
      <c r="C306" s="15">
        <v>20</v>
      </c>
      <c r="D306" s="16">
        <v>4</v>
      </c>
    </row>
    <row r="307" spans="1:4" ht="20" customHeight="1" x14ac:dyDescent="0.35">
      <c r="A307" s="13" t="s">
        <v>358</v>
      </c>
      <c r="B307" s="13" t="s">
        <v>335</v>
      </c>
      <c r="C307" s="15">
        <v>18</v>
      </c>
      <c r="D307" s="15">
        <v>18</v>
      </c>
    </row>
    <row r="308" spans="1:4" ht="20" customHeight="1" x14ac:dyDescent="0.35">
      <c r="A308" s="13" t="s">
        <v>359</v>
      </c>
      <c r="B308" s="13" t="s">
        <v>335</v>
      </c>
      <c r="C308" s="15">
        <v>18</v>
      </c>
      <c r="D308" s="15">
        <v>18</v>
      </c>
    </row>
    <row r="309" spans="1:4" ht="20" customHeight="1" x14ac:dyDescent="0.35">
      <c r="A309" s="13" t="s">
        <v>360</v>
      </c>
      <c r="B309" s="13" t="s">
        <v>335</v>
      </c>
      <c r="C309" s="15">
        <v>18</v>
      </c>
      <c r="D309" s="15">
        <v>18</v>
      </c>
    </row>
    <row r="310" spans="1:4" ht="20" customHeight="1" x14ac:dyDescent="0.35">
      <c r="A310" s="13" t="s">
        <v>361</v>
      </c>
      <c r="B310" s="13" t="s">
        <v>335</v>
      </c>
      <c r="C310" s="15">
        <v>18</v>
      </c>
      <c r="D310" s="15">
        <v>18</v>
      </c>
    </row>
    <row r="311" spans="1:4" ht="20" customHeight="1" x14ac:dyDescent="0.35">
      <c r="A311" s="13" t="s">
        <v>362</v>
      </c>
      <c r="B311" s="13" t="s">
        <v>335</v>
      </c>
      <c r="C311" s="15">
        <v>18</v>
      </c>
      <c r="D311" s="16">
        <v>6</v>
      </c>
    </row>
    <row r="312" spans="1:4" ht="20" customHeight="1" x14ac:dyDescent="0.35">
      <c r="A312" s="13" t="s">
        <v>363</v>
      </c>
      <c r="B312" s="13" t="s">
        <v>335</v>
      </c>
      <c r="C312" s="15">
        <v>18</v>
      </c>
      <c r="D312" s="16">
        <v>6</v>
      </c>
    </row>
    <row r="313" spans="1:4" ht="20" customHeight="1" x14ac:dyDescent="0.35">
      <c r="A313" s="13" t="s">
        <v>364</v>
      </c>
      <c r="B313" s="13" t="s">
        <v>335</v>
      </c>
      <c r="C313" s="15">
        <v>18</v>
      </c>
      <c r="D313" s="16">
        <v>6</v>
      </c>
    </row>
    <row r="314" spans="1:4" ht="20" customHeight="1" x14ac:dyDescent="0.35">
      <c r="A314" s="13" t="s">
        <v>365</v>
      </c>
      <c r="B314" s="13" t="s">
        <v>335</v>
      </c>
      <c r="C314" s="15">
        <v>18</v>
      </c>
      <c r="D314" s="16">
        <v>6</v>
      </c>
    </row>
    <row r="315" spans="1:4" ht="20" customHeight="1" x14ac:dyDescent="0.35">
      <c r="A315" s="13" t="s">
        <v>366</v>
      </c>
      <c r="B315" s="13" t="s">
        <v>335</v>
      </c>
      <c r="C315" s="15">
        <v>18</v>
      </c>
      <c r="D315" s="16">
        <v>6</v>
      </c>
    </row>
    <row r="316" spans="1:4" ht="20" customHeight="1" x14ac:dyDescent="0.35">
      <c r="A316" s="13" t="s">
        <v>367</v>
      </c>
      <c r="B316" s="13" t="s">
        <v>335</v>
      </c>
      <c r="C316" s="15">
        <v>16</v>
      </c>
      <c r="D316" s="15">
        <v>16</v>
      </c>
    </row>
    <row r="317" spans="1:4" ht="20" customHeight="1" x14ac:dyDescent="0.35">
      <c r="A317" s="13" t="s">
        <v>368</v>
      </c>
      <c r="B317" s="13" t="s">
        <v>335</v>
      </c>
      <c r="C317" s="15">
        <v>16</v>
      </c>
      <c r="D317" s="15">
        <v>16</v>
      </c>
    </row>
    <row r="318" spans="1:4" ht="20" customHeight="1" x14ac:dyDescent="0.35">
      <c r="A318" s="13" t="s">
        <v>369</v>
      </c>
      <c r="B318" s="13" t="s">
        <v>335</v>
      </c>
      <c r="C318" s="15">
        <v>16</v>
      </c>
      <c r="D318" s="15">
        <v>16</v>
      </c>
    </row>
    <row r="319" spans="1:4" ht="20" customHeight="1" x14ac:dyDescent="0.35">
      <c r="A319" s="13" t="s">
        <v>370</v>
      </c>
      <c r="B319" s="13" t="s">
        <v>335</v>
      </c>
      <c r="C319" s="15">
        <v>16</v>
      </c>
      <c r="D319" s="15">
        <v>16</v>
      </c>
    </row>
    <row r="320" spans="1:4" ht="20" customHeight="1" x14ac:dyDescent="0.35">
      <c r="A320" s="13" t="s">
        <v>371</v>
      </c>
      <c r="B320" s="13" t="s">
        <v>335</v>
      </c>
      <c r="C320" s="15">
        <v>16</v>
      </c>
      <c r="D320" s="15">
        <v>16</v>
      </c>
    </row>
    <row r="321" spans="1:4" ht="20" customHeight="1" x14ac:dyDescent="0.35">
      <c r="A321" s="13" t="s">
        <v>372</v>
      </c>
      <c r="B321" s="13" t="s">
        <v>335</v>
      </c>
      <c r="C321" s="15">
        <v>16</v>
      </c>
      <c r="D321" s="15">
        <v>16</v>
      </c>
    </row>
    <row r="322" spans="1:4" ht="20" customHeight="1" x14ac:dyDescent="0.35">
      <c r="A322" s="13" t="s">
        <v>373</v>
      </c>
      <c r="B322" s="13" t="s">
        <v>335</v>
      </c>
      <c r="C322" s="15">
        <v>16</v>
      </c>
      <c r="D322" s="15">
        <v>12</v>
      </c>
    </row>
    <row r="323" spans="1:4" ht="20" customHeight="1" x14ac:dyDescent="0.35">
      <c r="A323" s="13" t="s">
        <v>374</v>
      </c>
      <c r="B323" s="13" t="s">
        <v>335</v>
      </c>
      <c r="C323" s="15">
        <v>16</v>
      </c>
      <c r="D323" s="15">
        <v>12</v>
      </c>
    </row>
    <row r="324" spans="1:4" ht="20" customHeight="1" x14ac:dyDescent="0.35">
      <c r="A324" s="13" t="s">
        <v>375</v>
      </c>
      <c r="B324" s="13" t="s">
        <v>335</v>
      </c>
      <c r="C324" s="15">
        <v>16</v>
      </c>
      <c r="D324" s="15">
        <v>12</v>
      </c>
    </row>
    <row r="325" spans="1:4" ht="20" customHeight="1" x14ac:dyDescent="0.35">
      <c r="A325" s="13" t="s">
        <v>376</v>
      </c>
      <c r="B325" s="13" t="s">
        <v>335</v>
      </c>
      <c r="C325" s="15">
        <v>16</v>
      </c>
      <c r="D325" s="15">
        <v>12</v>
      </c>
    </row>
    <row r="326" spans="1:4" ht="20" customHeight="1" x14ac:dyDescent="0.35">
      <c r="A326" s="13" t="s">
        <v>377</v>
      </c>
      <c r="B326" s="13" t="s">
        <v>335</v>
      </c>
      <c r="C326" s="15">
        <v>16</v>
      </c>
      <c r="D326" s="15">
        <v>12</v>
      </c>
    </row>
    <row r="327" spans="1:4" ht="20" customHeight="1" x14ac:dyDescent="0.35">
      <c r="A327" s="13" t="s">
        <v>378</v>
      </c>
      <c r="B327" s="13" t="s">
        <v>335</v>
      </c>
      <c r="C327" s="15">
        <v>16</v>
      </c>
      <c r="D327" s="16">
        <v>8</v>
      </c>
    </row>
    <row r="328" spans="1:4" ht="20" customHeight="1" x14ac:dyDescent="0.35">
      <c r="A328" s="13" t="s">
        <v>379</v>
      </c>
      <c r="B328" s="13" t="s">
        <v>335</v>
      </c>
      <c r="C328" s="15">
        <v>16</v>
      </c>
      <c r="D328" s="16">
        <v>8</v>
      </c>
    </row>
    <row r="329" spans="1:4" ht="20" customHeight="1" x14ac:dyDescent="0.35">
      <c r="A329" s="13" t="s">
        <v>380</v>
      </c>
      <c r="B329" s="13" t="s">
        <v>335</v>
      </c>
      <c r="C329" s="15">
        <v>16</v>
      </c>
      <c r="D329" s="16">
        <v>8</v>
      </c>
    </row>
    <row r="330" spans="1:4" ht="20" customHeight="1" x14ac:dyDescent="0.35">
      <c r="A330" s="13" t="s">
        <v>381</v>
      </c>
      <c r="B330" s="13" t="s">
        <v>335</v>
      </c>
      <c r="C330" s="15">
        <v>16</v>
      </c>
      <c r="D330" s="16">
        <v>8</v>
      </c>
    </row>
    <row r="331" spans="1:4" ht="20" customHeight="1" x14ac:dyDescent="0.35">
      <c r="A331" s="13" t="s">
        <v>382</v>
      </c>
      <c r="B331" s="13" t="s">
        <v>335</v>
      </c>
      <c r="C331" s="15">
        <v>16</v>
      </c>
      <c r="D331" s="16">
        <v>8</v>
      </c>
    </row>
    <row r="332" spans="1:4" ht="20" customHeight="1" x14ac:dyDescent="0.35">
      <c r="A332" s="13" t="s">
        <v>383</v>
      </c>
      <c r="B332" s="13" t="s">
        <v>335</v>
      </c>
      <c r="C332" s="15">
        <v>16</v>
      </c>
      <c r="D332" s="16">
        <v>4</v>
      </c>
    </row>
    <row r="333" spans="1:4" ht="20" customHeight="1" x14ac:dyDescent="0.35">
      <c r="A333" s="13" t="s">
        <v>384</v>
      </c>
      <c r="B333" s="13" t="s">
        <v>335</v>
      </c>
      <c r="C333" s="15">
        <v>16</v>
      </c>
      <c r="D333" s="16">
        <v>4</v>
      </c>
    </row>
    <row r="334" spans="1:4" ht="20" customHeight="1" x14ac:dyDescent="0.35">
      <c r="A334" s="13" t="s">
        <v>385</v>
      </c>
      <c r="B334" s="13" t="s">
        <v>335</v>
      </c>
      <c r="C334" s="15">
        <v>16</v>
      </c>
      <c r="D334" s="16">
        <v>4</v>
      </c>
    </row>
    <row r="335" spans="1:4" ht="20" customHeight="1" x14ac:dyDescent="0.35">
      <c r="A335" s="13" t="s">
        <v>386</v>
      </c>
      <c r="B335" s="13" t="s">
        <v>335</v>
      </c>
      <c r="C335" s="15">
        <v>16</v>
      </c>
      <c r="D335" s="16">
        <v>4</v>
      </c>
    </row>
    <row r="336" spans="1:4" ht="20" customHeight="1" x14ac:dyDescent="0.35">
      <c r="A336" s="13" t="s">
        <v>387</v>
      </c>
      <c r="B336" s="13" t="s">
        <v>335</v>
      </c>
      <c r="C336" s="15">
        <v>16</v>
      </c>
      <c r="D336" s="16">
        <v>4</v>
      </c>
    </row>
    <row r="337" spans="1:4" ht="20" customHeight="1" x14ac:dyDescent="0.35">
      <c r="A337" s="13" t="s">
        <v>388</v>
      </c>
      <c r="B337" s="13" t="s">
        <v>335</v>
      </c>
      <c r="C337" s="15">
        <v>16</v>
      </c>
      <c r="D337" s="16">
        <v>4</v>
      </c>
    </row>
    <row r="338" spans="1:4" ht="20" customHeight="1" x14ac:dyDescent="0.35">
      <c r="A338" s="13" t="s">
        <v>389</v>
      </c>
      <c r="B338" s="13" t="s">
        <v>335</v>
      </c>
      <c r="C338" s="15">
        <v>14</v>
      </c>
      <c r="D338" s="15">
        <v>14</v>
      </c>
    </row>
    <row r="339" spans="1:4" ht="20" customHeight="1" x14ac:dyDescent="0.35">
      <c r="A339" s="13" t="s">
        <v>390</v>
      </c>
      <c r="B339" s="13" t="s">
        <v>335</v>
      </c>
      <c r="C339" s="15">
        <v>14</v>
      </c>
      <c r="D339" s="15">
        <v>14</v>
      </c>
    </row>
    <row r="340" spans="1:4" ht="20" customHeight="1" x14ac:dyDescent="0.35">
      <c r="A340" s="13" t="s">
        <v>391</v>
      </c>
      <c r="B340" s="13" t="s">
        <v>335</v>
      </c>
      <c r="C340" s="15">
        <v>14</v>
      </c>
      <c r="D340" s="15">
        <v>14</v>
      </c>
    </row>
    <row r="341" spans="1:4" ht="20" customHeight="1" x14ac:dyDescent="0.35">
      <c r="A341" s="13" t="s">
        <v>392</v>
      </c>
      <c r="B341" s="13" t="s">
        <v>335</v>
      </c>
      <c r="C341" s="15">
        <v>14</v>
      </c>
      <c r="D341" s="15">
        <v>14</v>
      </c>
    </row>
    <row r="342" spans="1:4" ht="20" customHeight="1" x14ac:dyDescent="0.35">
      <c r="A342" s="13" t="s">
        <v>393</v>
      </c>
      <c r="B342" s="13" t="s">
        <v>335</v>
      </c>
      <c r="C342" s="15">
        <v>14</v>
      </c>
      <c r="D342" s="15">
        <v>14</v>
      </c>
    </row>
    <row r="343" spans="1:4" ht="20" customHeight="1" x14ac:dyDescent="0.35">
      <c r="A343" s="13" t="s">
        <v>394</v>
      </c>
      <c r="B343" s="13" t="s">
        <v>335</v>
      </c>
      <c r="C343" s="15">
        <v>14</v>
      </c>
      <c r="D343" s="15">
        <v>14</v>
      </c>
    </row>
    <row r="344" spans="1:4" ht="20" customHeight="1" x14ac:dyDescent="0.35">
      <c r="A344" s="13" t="s">
        <v>395</v>
      </c>
      <c r="B344" s="13" t="s">
        <v>335</v>
      </c>
      <c r="C344" s="15">
        <v>14</v>
      </c>
      <c r="D344" s="15">
        <v>10</v>
      </c>
    </row>
    <row r="345" spans="1:4" ht="20" customHeight="1" x14ac:dyDescent="0.35">
      <c r="A345" s="13" t="s">
        <v>396</v>
      </c>
      <c r="B345" s="13" t="s">
        <v>335</v>
      </c>
      <c r="C345" s="15">
        <v>14</v>
      </c>
      <c r="D345" s="15">
        <v>10</v>
      </c>
    </row>
    <row r="346" spans="1:4" ht="20" customHeight="1" x14ac:dyDescent="0.35">
      <c r="A346" s="13" t="s">
        <v>397</v>
      </c>
      <c r="B346" s="13" t="s">
        <v>335</v>
      </c>
      <c r="C346" s="15">
        <v>14</v>
      </c>
      <c r="D346" s="15">
        <v>10</v>
      </c>
    </row>
    <row r="347" spans="1:4" ht="20" customHeight="1" x14ac:dyDescent="0.35">
      <c r="A347" s="13" t="s">
        <v>398</v>
      </c>
      <c r="B347" s="13" t="s">
        <v>335</v>
      </c>
      <c r="C347" s="15">
        <v>14</v>
      </c>
      <c r="D347" s="15">
        <v>10</v>
      </c>
    </row>
    <row r="348" spans="1:4" ht="20" customHeight="1" x14ac:dyDescent="0.35">
      <c r="A348" s="13" t="s">
        <v>399</v>
      </c>
      <c r="B348" s="13" t="s">
        <v>335</v>
      </c>
      <c r="C348" s="15">
        <v>14</v>
      </c>
      <c r="D348" s="15">
        <v>10</v>
      </c>
    </row>
    <row r="349" spans="1:4" ht="20" customHeight="1" x14ac:dyDescent="0.35">
      <c r="A349" s="13" t="s">
        <v>400</v>
      </c>
      <c r="B349" s="13" t="s">
        <v>335</v>
      </c>
      <c r="C349" s="15">
        <v>14</v>
      </c>
      <c r="D349" s="16">
        <v>6</v>
      </c>
    </row>
    <row r="350" spans="1:4" ht="20" customHeight="1" x14ac:dyDescent="0.35">
      <c r="A350" s="13" t="s">
        <v>401</v>
      </c>
      <c r="B350" s="13" t="s">
        <v>335</v>
      </c>
      <c r="C350" s="15">
        <v>14</v>
      </c>
      <c r="D350" s="16">
        <v>6</v>
      </c>
    </row>
    <row r="351" spans="1:4" ht="20" customHeight="1" x14ac:dyDescent="0.35">
      <c r="A351" s="13" t="s">
        <v>402</v>
      </c>
      <c r="B351" s="13" t="s">
        <v>335</v>
      </c>
      <c r="C351" s="15">
        <v>14</v>
      </c>
      <c r="D351" s="16">
        <v>6</v>
      </c>
    </row>
    <row r="352" spans="1:4" ht="20" customHeight="1" x14ac:dyDescent="0.35">
      <c r="A352" s="13" t="s">
        <v>403</v>
      </c>
      <c r="B352" s="13" t="s">
        <v>335</v>
      </c>
      <c r="C352" s="15">
        <v>14</v>
      </c>
      <c r="D352" s="16">
        <v>6</v>
      </c>
    </row>
    <row r="353" spans="1:4" ht="20" customHeight="1" x14ac:dyDescent="0.35">
      <c r="A353" s="13" t="s">
        <v>404</v>
      </c>
      <c r="B353" s="13" t="s">
        <v>335</v>
      </c>
      <c r="C353" s="15">
        <v>14</v>
      </c>
      <c r="D353" s="16">
        <v>6</v>
      </c>
    </row>
    <row r="354" spans="1:4" ht="20" customHeight="1" x14ac:dyDescent="0.35">
      <c r="A354" s="13" t="s">
        <v>405</v>
      </c>
      <c r="B354" s="13" t="s">
        <v>335</v>
      </c>
      <c r="C354" s="15">
        <v>14</v>
      </c>
      <c r="D354" s="16">
        <v>6</v>
      </c>
    </row>
    <row r="355" spans="1:4" ht="20" customHeight="1" x14ac:dyDescent="0.35">
      <c r="A355" s="13" t="s">
        <v>406</v>
      </c>
      <c r="B355" s="13" t="s">
        <v>335</v>
      </c>
      <c r="C355" s="15">
        <v>14</v>
      </c>
      <c r="D355" s="16">
        <v>4</v>
      </c>
    </row>
    <row r="356" spans="1:4" ht="20" customHeight="1" x14ac:dyDescent="0.35">
      <c r="A356" s="13" t="s">
        <v>407</v>
      </c>
      <c r="B356" s="13" t="s">
        <v>335</v>
      </c>
      <c r="C356" s="15">
        <v>14</v>
      </c>
      <c r="D356" s="16">
        <v>4</v>
      </c>
    </row>
    <row r="357" spans="1:4" ht="20" customHeight="1" x14ac:dyDescent="0.35">
      <c r="A357" s="13" t="s">
        <v>408</v>
      </c>
      <c r="B357" s="13" t="s">
        <v>335</v>
      </c>
      <c r="C357" s="15">
        <v>14</v>
      </c>
      <c r="D357" s="16">
        <v>4</v>
      </c>
    </row>
    <row r="358" spans="1:4" ht="20" customHeight="1" x14ac:dyDescent="0.35">
      <c r="A358" s="13" t="s">
        <v>409</v>
      </c>
      <c r="B358" s="13" t="s">
        <v>335</v>
      </c>
      <c r="C358" s="15">
        <v>14</v>
      </c>
      <c r="D358" s="16">
        <v>4</v>
      </c>
    </row>
    <row r="359" spans="1:4" ht="20" customHeight="1" x14ac:dyDescent="0.35">
      <c r="A359" s="13" t="s">
        <v>410</v>
      </c>
      <c r="B359" s="13" t="s">
        <v>335</v>
      </c>
      <c r="C359" s="15">
        <v>14</v>
      </c>
      <c r="D359" s="16">
        <v>4</v>
      </c>
    </row>
    <row r="360" spans="1:4" ht="20" customHeight="1" x14ac:dyDescent="0.35">
      <c r="A360" s="13" t="s">
        <v>411</v>
      </c>
      <c r="B360" s="13" t="s">
        <v>335</v>
      </c>
      <c r="C360" s="15">
        <v>14</v>
      </c>
      <c r="D360" s="16">
        <v>4</v>
      </c>
    </row>
    <row r="361" spans="1:4" ht="20" customHeight="1" x14ac:dyDescent="0.35">
      <c r="A361" s="13" t="s">
        <v>412</v>
      </c>
      <c r="B361" s="13" t="s">
        <v>335</v>
      </c>
      <c r="C361" s="15">
        <v>12</v>
      </c>
      <c r="D361" s="15">
        <v>12</v>
      </c>
    </row>
    <row r="362" spans="1:4" ht="20" customHeight="1" x14ac:dyDescent="0.35">
      <c r="A362" s="13" t="s">
        <v>413</v>
      </c>
      <c r="B362" s="13" t="s">
        <v>335</v>
      </c>
      <c r="C362" s="15">
        <v>12</v>
      </c>
      <c r="D362" s="15">
        <v>12</v>
      </c>
    </row>
    <row r="363" spans="1:4" ht="20" customHeight="1" x14ac:dyDescent="0.35">
      <c r="A363" s="13" t="s">
        <v>414</v>
      </c>
      <c r="B363" s="13" t="s">
        <v>335</v>
      </c>
      <c r="C363" s="15">
        <v>12</v>
      </c>
      <c r="D363" s="15">
        <v>12</v>
      </c>
    </row>
    <row r="364" spans="1:4" ht="20" customHeight="1" x14ac:dyDescent="0.35">
      <c r="A364" s="13" t="s">
        <v>415</v>
      </c>
      <c r="B364" s="13" t="s">
        <v>335</v>
      </c>
      <c r="C364" s="15">
        <v>12</v>
      </c>
      <c r="D364" s="15">
        <v>12</v>
      </c>
    </row>
    <row r="365" spans="1:4" ht="20" customHeight="1" x14ac:dyDescent="0.35">
      <c r="A365" s="13" t="s">
        <v>416</v>
      </c>
      <c r="B365" s="13" t="s">
        <v>335</v>
      </c>
      <c r="C365" s="15">
        <v>12</v>
      </c>
      <c r="D365" s="15">
        <v>12</v>
      </c>
    </row>
    <row r="366" spans="1:4" ht="20" customHeight="1" x14ac:dyDescent="0.35">
      <c r="A366" s="13" t="s">
        <v>417</v>
      </c>
      <c r="B366" s="13" t="s">
        <v>335</v>
      </c>
      <c r="C366" s="15">
        <v>12</v>
      </c>
      <c r="D366" s="15">
        <v>12</v>
      </c>
    </row>
    <row r="367" spans="1:4" ht="20" customHeight="1" x14ac:dyDescent="0.35">
      <c r="A367" s="13" t="s">
        <v>418</v>
      </c>
      <c r="B367" s="13" t="s">
        <v>335</v>
      </c>
      <c r="C367" s="15">
        <v>12</v>
      </c>
      <c r="D367" s="15">
        <v>12</v>
      </c>
    </row>
    <row r="368" spans="1:4" ht="20" customHeight="1" x14ac:dyDescent="0.35">
      <c r="A368" s="13" t="s">
        <v>419</v>
      </c>
      <c r="B368" s="13" t="s">
        <v>335</v>
      </c>
      <c r="C368" s="15">
        <v>12</v>
      </c>
      <c r="D368" s="15">
        <v>10</v>
      </c>
    </row>
    <row r="369" spans="1:4" ht="20" customHeight="1" x14ac:dyDescent="0.35">
      <c r="A369" s="13" t="s">
        <v>420</v>
      </c>
      <c r="B369" s="13" t="s">
        <v>335</v>
      </c>
      <c r="C369" s="15">
        <v>12</v>
      </c>
      <c r="D369" s="15">
        <v>10</v>
      </c>
    </row>
    <row r="370" spans="1:4" ht="20" customHeight="1" x14ac:dyDescent="0.35">
      <c r="A370" s="13" t="s">
        <v>421</v>
      </c>
      <c r="B370" s="13" t="s">
        <v>335</v>
      </c>
      <c r="C370" s="15">
        <v>12</v>
      </c>
      <c r="D370" s="15">
        <v>10</v>
      </c>
    </row>
    <row r="371" spans="1:4" ht="20" customHeight="1" x14ac:dyDescent="0.35">
      <c r="A371" s="13" t="s">
        <v>422</v>
      </c>
      <c r="B371" s="13" t="s">
        <v>335</v>
      </c>
      <c r="C371" s="15">
        <v>12</v>
      </c>
      <c r="D371" s="15">
        <v>10</v>
      </c>
    </row>
    <row r="372" spans="1:4" ht="20" customHeight="1" x14ac:dyDescent="0.35">
      <c r="A372" s="13" t="s">
        <v>423</v>
      </c>
      <c r="B372" s="13" t="s">
        <v>335</v>
      </c>
      <c r="C372" s="15">
        <v>12</v>
      </c>
      <c r="D372" s="16">
        <v>8</v>
      </c>
    </row>
    <row r="373" spans="1:4" ht="20" customHeight="1" x14ac:dyDescent="0.35">
      <c r="A373" s="13" t="s">
        <v>424</v>
      </c>
      <c r="B373" s="13" t="s">
        <v>335</v>
      </c>
      <c r="C373" s="15">
        <v>12</v>
      </c>
      <c r="D373" s="16">
        <v>8</v>
      </c>
    </row>
    <row r="374" spans="1:4" ht="20" customHeight="1" x14ac:dyDescent="0.35">
      <c r="A374" s="13" t="s">
        <v>425</v>
      </c>
      <c r="B374" s="13" t="s">
        <v>335</v>
      </c>
      <c r="C374" s="15">
        <v>12</v>
      </c>
      <c r="D374" s="16">
        <v>8</v>
      </c>
    </row>
    <row r="375" spans="1:4" ht="20" customHeight="1" x14ac:dyDescent="0.35">
      <c r="A375" s="13" t="s">
        <v>426</v>
      </c>
      <c r="B375" s="13" t="s">
        <v>335</v>
      </c>
      <c r="C375" s="15">
        <v>12</v>
      </c>
      <c r="D375" s="16">
        <v>8</v>
      </c>
    </row>
    <row r="376" spans="1:4" ht="20" customHeight="1" x14ac:dyDescent="0.35">
      <c r="A376" s="13" t="s">
        <v>427</v>
      </c>
      <c r="B376" s="13" t="s">
        <v>335</v>
      </c>
      <c r="C376" s="15">
        <v>12</v>
      </c>
      <c r="D376" s="16">
        <v>8</v>
      </c>
    </row>
    <row r="377" spans="1:4" ht="20" customHeight="1" x14ac:dyDescent="0.35">
      <c r="A377" s="13" t="s">
        <v>428</v>
      </c>
      <c r="B377" s="13" t="s">
        <v>335</v>
      </c>
      <c r="C377" s="15">
        <v>12</v>
      </c>
      <c r="D377" s="16">
        <v>8</v>
      </c>
    </row>
    <row r="378" spans="1:4" ht="20" customHeight="1" x14ac:dyDescent="0.35">
      <c r="A378" s="13" t="s">
        <v>429</v>
      </c>
      <c r="B378" s="13" t="s">
        <v>335</v>
      </c>
      <c r="C378" s="15">
        <v>12</v>
      </c>
      <c r="D378" s="16">
        <v>6</v>
      </c>
    </row>
    <row r="379" spans="1:4" ht="20" customHeight="1" x14ac:dyDescent="0.35">
      <c r="A379" s="13" t="s">
        <v>430</v>
      </c>
      <c r="B379" s="13" t="s">
        <v>335</v>
      </c>
      <c r="C379" s="15">
        <v>12</v>
      </c>
      <c r="D379" s="16">
        <v>6</v>
      </c>
    </row>
    <row r="380" spans="1:4" ht="20" customHeight="1" x14ac:dyDescent="0.35">
      <c r="A380" s="13" t="s">
        <v>431</v>
      </c>
      <c r="B380" s="13" t="s">
        <v>335</v>
      </c>
      <c r="C380" s="15">
        <v>12</v>
      </c>
      <c r="D380" s="16">
        <v>6</v>
      </c>
    </row>
    <row r="381" spans="1:4" ht="20" customHeight="1" x14ac:dyDescent="0.35">
      <c r="A381" s="13" t="s">
        <v>432</v>
      </c>
      <c r="B381" s="13" t="s">
        <v>335</v>
      </c>
      <c r="C381" s="15">
        <v>12</v>
      </c>
      <c r="D381" s="16">
        <v>6</v>
      </c>
    </row>
    <row r="382" spans="1:4" ht="20" customHeight="1" x14ac:dyDescent="0.35">
      <c r="A382" s="13" t="s">
        <v>433</v>
      </c>
      <c r="B382" s="13" t="s">
        <v>335</v>
      </c>
      <c r="C382" s="15">
        <v>12</v>
      </c>
      <c r="D382" s="16">
        <v>6</v>
      </c>
    </row>
    <row r="383" spans="1:4" ht="20" customHeight="1" x14ac:dyDescent="0.35">
      <c r="A383" s="13" t="s">
        <v>434</v>
      </c>
      <c r="B383" s="13" t="s">
        <v>335</v>
      </c>
      <c r="C383" s="15">
        <v>12</v>
      </c>
      <c r="D383" s="16">
        <v>6</v>
      </c>
    </row>
    <row r="384" spans="1:4" ht="20" customHeight="1" x14ac:dyDescent="0.35">
      <c r="A384" s="13" t="s">
        <v>435</v>
      </c>
      <c r="B384" s="13" t="s">
        <v>335</v>
      </c>
      <c r="C384" s="15">
        <v>12</v>
      </c>
      <c r="D384" s="16">
        <v>4</v>
      </c>
    </row>
    <row r="385" spans="1:4" ht="20" customHeight="1" x14ac:dyDescent="0.35">
      <c r="A385" s="13" t="s">
        <v>436</v>
      </c>
      <c r="B385" s="13" t="s">
        <v>335</v>
      </c>
      <c r="C385" s="15">
        <v>12</v>
      </c>
      <c r="D385" s="16">
        <v>4</v>
      </c>
    </row>
    <row r="386" spans="1:4" ht="20" customHeight="1" x14ac:dyDescent="0.35">
      <c r="A386" s="13" t="s">
        <v>437</v>
      </c>
      <c r="B386" s="13" t="s">
        <v>335</v>
      </c>
      <c r="C386" s="15">
        <v>12</v>
      </c>
      <c r="D386" s="16">
        <v>4</v>
      </c>
    </row>
    <row r="387" spans="1:4" ht="20" customHeight="1" x14ac:dyDescent="0.35">
      <c r="A387" s="13" t="s">
        <v>438</v>
      </c>
      <c r="B387" s="13" t="s">
        <v>335</v>
      </c>
      <c r="C387" s="15">
        <v>12</v>
      </c>
      <c r="D387" s="16">
        <v>4</v>
      </c>
    </row>
    <row r="388" spans="1:4" ht="20" customHeight="1" x14ac:dyDescent="0.35">
      <c r="A388" s="13" t="s">
        <v>439</v>
      </c>
      <c r="B388" s="13" t="s">
        <v>335</v>
      </c>
      <c r="C388" s="15">
        <v>12</v>
      </c>
      <c r="D388" s="16">
        <v>4</v>
      </c>
    </row>
    <row r="389" spans="1:4" ht="20" customHeight="1" x14ac:dyDescent="0.35">
      <c r="A389" s="13" t="s">
        <v>440</v>
      </c>
      <c r="B389" s="13" t="s">
        <v>335</v>
      </c>
      <c r="C389" s="15">
        <v>12</v>
      </c>
      <c r="D389" s="16">
        <v>4</v>
      </c>
    </row>
    <row r="390" spans="1:4" ht="20" customHeight="1" x14ac:dyDescent="0.35">
      <c r="A390" s="13" t="s">
        <v>441</v>
      </c>
      <c r="B390" s="13" t="s">
        <v>335</v>
      </c>
      <c r="C390" s="15">
        <v>12</v>
      </c>
      <c r="D390" s="16">
        <v>3.5</v>
      </c>
    </row>
    <row r="391" spans="1:4" ht="20" customHeight="1" x14ac:dyDescent="0.35">
      <c r="A391" s="13" t="s">
        <v>442</v>
      </c>
      <c r="B391" s="13" t="s">
        <v>335</v>
      </c>
      <c r="C391" s="15">
        <v>12</v>
      </c>
      <c r="D391" s="16">
        <v>3.5</v>
      </c>
    </row>
    <row r="392" spans="1:4" ht="20" customHeight="1" x14ac:dyDescent="0.35">
      <c r="A392" s="13" t="s">
        <v>443</v>
      </c>
      <c r="B392" s="13" t="s">
        <v>335</v>
      </c>
      <c r="C392" s="15">
        <v>12</v>
      </c>
      <c r="D392" s="16">
        <v>3</v>
      </c>
    </row>
    <row r="393" spans="1:4" ht="20" customHeight="1" x14ac:dyDescent="0.35">
      <c r="A393" s="13" t="s">
        <v>444</v>
      </c>
      <c r="B393" s="13" t="s">
        <v>335</v>
      </c>
      <c r="C393" s="15">
        <v>12</v>
      </c>
      <c r="D393" s="16">
        <v>3</v>
      </c>
    </row>
    <row r="394" spans="1:4" ht="20" customHeight="1" x14ac:dyDescent="0.35">
      <c r="A394" s="13" t="s">
        <v>445</v>
      </c>
      <c r="B394" s="13" t="s">
        <v>335</v>
      </c>
      <c r="C394" s="15">
        <v>12</v>
      </c>
      <c r="D394" s="16">
        <v>3</v>
      </c>
    </row>
    <row r="395" spans="1:4" ht="20" customHeight="1" x14ac:dyDescent="0.35">
      <c r="A395" s="13" t="s">
        <v>446</v>
      </c>
      <c r="B395" s="13" t="s">
        <v>335</v>
      </c>
      <c r="C395" s="15">
        <v>12</v>
      </c>
      <c r="D395" s="16">
        <v>2</v>
      </c>
    </row>
    <row r="396" spans="1:4" ht="20" customHeight="1" x14ac:dyDescent="0.35">
      <c r="A396" s="13" t="s">
        <v>447</v>
      </c>
      <c r="B396" s="13" t="s">
        <v>335</v>
      </c>
      <c r="C396" s="15">
        <v>12</v>
      </c>
      <c r="D396" s="16">
        <v>2</v>
      </c>
    </row>
    <row r="397" spans="1:4" ht="20" customHeight="1" x14ac:dyDescent="0.35">
      <c r="A397" s="13" t="s">
        <v>448</v>
      </c>
      <c r="B397" s="13" t="s">
        <v>335</v>
      </c>
      <c r="C397" s="15">
        <v>12</v>
      </c>
      <c r="D397" s="16">
        <v>2</v>
      </c>
    </row>
    <row r="398" spans="1:4" ht="20" customHeight="1" x14ac:dyDescent="0.35">
      <c r="A398" s="13" t="s">
        <v>449</v>
      </c>
      <c r="B398" s="13" t="s">
        <v>335</v>
      </c>
      <c r="C398" s="15">
        <v>10</v>
      </c>
      <c r="D398" s="15">
        <v>10</v>
      </c>
    </row>
    <row r="399" spans="1:4" ht="20" customHeight="1" x14ac:dyDescent="0.35">
      <c r="A399" s="13" t="s">
        <v>450</v>
      </c>
      <c r="B399" s="13" t="s">
        <v>335</v>
      </c>
      <c r="C399" s="15">
        <v>10</v>
      </c>
      <c r="D399" s="15">
        <v>10</v>
      </c>
    </row>
    <row r="400" spans="1:4" ht="20" customHeight="1" x14ac:dyDescent="0.35">
      <c r="A400" s="13" t="s">
        <v>451</v>
      </c>
      <c r="B400" s="13" t="s">
        <v>335</v>
      </c>
      <c r="C400" s="15">
        <v>10</v>
      </c>
      <c r="D400" s="15">
        <v>10</v>
      </c>
    </row>
    <row r="401" spans="1:4" ht="20" customHeight="1" x14ac:dyDescent="0.35">
      <c r="A401" s="13" t="s">
        <v>452</v>
      </c>
      <c r="B401" s="13" t="s">
        <v>335</v>
      </c>
      <c r="C401" s="15">
        <v>10</v>
      </c>
      <c r="D401" s="15">
        <v>10</v>
      </c>
    </row>
    <row r="402" spans="1:4" ht="20" customHeight="1" x14ac:dyDescent="0.35">
      <c r="A402" s="13" t="s">
        <v>453</v>
      </c>
      <c r="B402" s="13" t="s">
        <v>335</v>
      </c>
      <c r="C402" s="15">
        <v>10</v>
      </c>
      <c r="D402" s="15">
        <v>10</v>
      </c>
    </row>
    <row r="403" spans="1:4" ht="20" customHeight="1" x14ac:dyDescent="0.35">
      <c r="A403" s="13" t="s">
        <v>454</v>
      </c>
      <c r="B403" s="13" t="s">
        <v>335</v>
      </c>
      <c r="C403" s="15">
        <v>10</v>
      </c>
      <c r="D403" s="15">
        <v>10</v>
      </c>
    </row>
    <row r="404" spans="1:4" ht="20" customHeight="1" x14ac:dyDescent="0.35">
      <c r="A404" s="13" t="s">
        <v>455</v>
      </c>
      <c r="B404" s="13" t="s">
        <v>335</v>
      </c>
      <c r="C404" s="15">
        <v>10</v>
      </c>
      <c r="D404" s="15">
        <v>10</v>
      </c>
    </row>
    <row r="405" spans="1:4" ht="20" customHeight="1" x14ac:dyDescent="0.35">
      <c r="A405" s="13" t="s">
        <v>456</v>
      </c>
      <c r="B405" s="13" t="s">
        <v>335</v>
      </c>
      <c r="C405" s="15">
        <v>10</v>
      </c>
      <c r="D405" s="16">
        <v>8</v>
      </c>
    </row>
    <row r="406" spans="1:4" ht="20" customHeight="1" x14ac:dyDescent="0.35">
      <c r="A406" s="13" t="s">
        <v>457</v>
      </c>
      <c r="B406" s="13" t="s">
        <v>335</v>
      </c>
      <c r="C406" s="15">
        <v>10</v>
      </c>
      <c r="D406" s="16">
        <v>8</v>
      </c>
    </row>
    <row r="407" spans="1:4" ht="20" customHeight="1" x14ac:dyDescent="0.35">
      <c r="A407" s="13" t="s">
        <v>458</v>
      </c>
      <c r="B407" s="13" t="s">
        <v>335</v>
      </c>
      <c r="C407" s="15">
        <v>10</v>
      </c>
      <c r="D407" s="16">
        <v>8</v>
      </c>
    </row>
    <row r="408" spans="1:4" ht="20" customHeight="1" x14ac:dyDescent="0.35">
      <c r="A408" s="13" t="s">
        <v>459</v>
      </c>
      <c r="B408" s="13" t="s">
        <v>335</v>
      </c>
      <c r="C408" s="15">
        <v>10</v>
      </c>
      <c r="D408" s="16">
        <v>8</v>
      </c>
    </row>
    <row r="409" spans="1:4" ht="20" customHeight="1" x14ac:dyDescent="0.35">
      <c r="A409" s="13" t="s">
        <v>460</v>
      </c>
      <c r="B409" s="13" t="s">
        <v>335</v>
      </c>
      <c r="C409" s="15">
        <v>10</v>
      </c>
      <c r="D409" s="16">
        <v>8</v>
      </c>
    </row>
    <row r="410" spans="1:4" ht="20" customHeight="1" x14ac:dyDescent="0.35">
      <c r="A410" s="13" t="s">
        <v>461</v>
      </c>
      <c r="B410" s="13" t="s">
        <v>335</v>
      </c>
      <c r="C410" s="15">
        <v>10</v>
      </c>
      <c r="D410" s="16">
        <v>8</v>
      </c>
    </row>
    <row r="411" spans="1:4" ht="20" customHeight="1" x14ac:dyDescent="0.35">
      <c r="A411" s="13" t="s">
        <v>462</v>
      </c>
      <c r="B411" s="13" t="s">
        <v>335</v>
      </c>
      <c r="C411" s="15">
        <v>10</v>
      </c>
      <c r="D411" s="16">
        <v>6</v>
      </c>
    </row>
    <row r="412" spans="1:4" ht="20" customHeight="1" x14ac:dyDescent="0.35">
      <c r="A412" s="13" t="s">
        <v>463</v>
      </c>
      <c r="B412" s="13" t="s">
        <v>335</v>
      </c>
      <c r="C412" s="15">
        <v>10</v>
      </c>
      <c r="D412" s="16">
        <v>6</v>
      </c>
    </row>
    <row r="413" spans="1:4" ht="20" customHeight="1" x14ac:dyDescent="0.35">
      <c r="A413" s="13" t="s">
        <v>464</v>
      </c>
      <c r="B413" s="13" t="s">
        <v>335</v>
      </c>
      <c r="C413" s="15">
        <v>10</v>
      </c>
      <c r="D413" s="16">
        <v>6</v>
      </c>
    </row>
    <row r="414" spans="1:4" ht="20" customHeight="1" x14ac:dyDescent="0.35">
      <c r="A414" s="13" t="s">
        <v>465</v>
      </c>
      <c r="B414" s="13" t="s">
        <v>335</v>
      </c>
      <c r="C414" s="15">
        <v>10</v>
      </c>
      <c r="D414" s="16">
        <v>6</v>
      </c>
    </row>
    <row r="415" spans="1:4" ht="20" customHeight="1" x14ac:dyDescent="0.35">
      <c r="A415" s="13" t="s">
        <v>466</v>
      </c>
      <c r="B415" s="13" t="s">
        <v>335</v>
      </c>
      <c r="C415" s="15">
        <v>10</v>
      </c>
      <c r="D415" s="16">
        <v>6</v>
      </c>
    </row>
    <row r="416" spans="1:4" ht="20" customHeight="1" x14ac:dyDescent="0.35">
      <c r="A416" s="13" t="s">
        <v>467</v>
      </c>
      <c r="B416" s="13" t="s">
        <v>335</v>
      </c>
      <c r="C416" s="15">
        <v>10</v>
      </c>
      <c r="D416" s="16">
        <v>6</v>
      </c>
    </row>
    <row r="417" spans="1:4" ht="20" customHeight="1" x14ac:dyDescent="0.35">
      <c r="A417" s="13" t="s">
        <v>468</v>
      </c>
      <c r="B417" s="13" t="s">
        <v>335</v>
      </c>
      <c r="C417" s="15">
        <v>10</v>
      </c>
      <c r="D417" s="16">
        <v>5</v>
      </c>
    </row>
    <row r="418" spans="1:4" ht="20" customHeight="1" x14ac:dyDescent="0.35">
      <c r="A418" s="13" t="s">
        <v>469</v>
      </c>
      <c r="B418" s="13" t="s">
        <v>335</v>
      </c>
      <c r="C418" s="15">
        <v>10</v>
      </c>
      <c r="D418" s="16">
        <v>5</v>
      </c>
    </row>
    <row r="419" spans="1:4" ht="20" customHeight="1" x14ac:dyDescent="0.35">
      <c r="A419" s="13" t="s">
        <v>470</v>
      </c>
      <c r="B419" s="13" t="s">
        <v>335</v>
      </c>
      <c r="C419" s="15">
        <v>10</v>
      </c>
      <c r="D419" s="16">
        <v>5</v>
      </c>
    </row>
    <row r="420" spans="1:4" ht="20" customHeight="1" x14ac:dyDescent="0.35">
      <c r="A420" s="13" t="s">
        <v>471</v>
      </c>
      <c r="B420" s="13" t="s">
        <v>335</v>
      </c>
      <c r="C420" s="15">
        <v>10</v>
      </c>
      <c r="D420" s="16">
        <v>5</v>
      </c>
    </row>
    <row r="421" spans="1:4" ht="20" customHeight="1" x14ac:dyDescent="0.35">
      <c r="A421" s="13" t="s">
        <v>472</v>
      </c>
      <c r="B421" s="13" t="s">
        <v>335</v>
      </c>
      <c r="C421" s="15">
        <v>10</v>
      </c>
      <c r="D421" s="16">
        <v>4</v>
      </c>
    </row>
    <row r="422" spans="1:4" ht="20" customHeight="1" x14ac:dyDescent="0.35">
      <c r="A422" s="13" t="s">
        <v>473</v>
      </c>
      <c r="B422" s="13" t="s">
        <v>335</v>
      </c>
      <c r="C422" s="15">
        <v>10</v>
      </c>
      <c r="D422" s="16">
        <v>4</v>
      </c>
    </row>
    <row r="423" spans="1:4" ht="20" customHeight="1" x14ac:dyDescent="0.35">
      <c r="A423" s="13" t="s">
        <v>474</v>
      </c>
      <c r="B423" s="13" t="s">
        <v>335</v>
      </c>
      <c r="C423" s="15">
        <v>10</v>
      </c>
      <c r="D423" s="16">
        <v>4</v>
      </c>
    </row>
    <row r="424" spans="1:4" ht="20" customHeight="1" x14ac:dyDescent="0.35">
      <c r="A424" s="13" t="s">
        <v>475</v>
      </c>
      <c r="B424" s="13" t="s">
        <v>335</v>
      </c>
      <c r="C424" s="15">
        <v>10</v>
      </c>
      <c r="D424" s="16">
        <v>4</v>
      </c>
    </row>
    <row r="425" spans="1:4" ht="20" customHeight="1" x14ac:dyDescent="0.35">
      <c r="A425" s="13" t="s">
        <v>476</v>
      </c>
      <c r="B425" s="13" t="s">
        <v>335</v>
      </c>
      <c r="C425" s="15">
        <v>10</v>
      </c>
      <c r="D425" s="16">
        <v>4</v>
      </c>
    </row>
    <row r="426" spans="1:4" ht="20" customHeight="1" x14ac:dyDescent="0.35">
      <c r="A426" s="13" t="s">
        <v>477</v>
      </c>
      <c r="B426" s="13" t="s">
        <v>335</v>
      </c>
      <c r="C426" s="15">
        <v>10</v>
      </c>
      <c r="D426" s="16">
        <v>4</v>
      </c>
    </row>
    <row r="427" spans="1:4" ht="20" customHeight="1" x14ac:dyDescent="0.35">
      <c r="A427" s="13" t="s">
        <v>478</v>
      </c>
      <c r="B427" s="13" t="s">
        <v>335</v>
      </c>
      <c r="C427" s="15">
        <v>10</v>
      </c>
      <c r="D427" s="16">
        <v>4</v>
      </c>
    </row>
    <row r="428" spans="1:4" ht="20" customHeight="1" x14ac:dyDescent="0.35">
      <c r="A428" s="13" t="s">
        <v>479</v>
      </c>
      <c r="B428" s="13" t="s">
        <v>335</v>
      </c>
      <c r="C428" s="15">
        <v>10</v>
      </c>
      <c r="D428" s="16">
        <v>3.5</v>
      </c>
    </row>
    <row r="429" spans="1:4" ht="20" customHeight="1" x14ac:dyDescent="0.35">
      <c r="A429" s="13" t="s">
        <v>480</v>
      </c>
      <c r="B429" s="13" t="s">
        <v>335</v>
      </c>
      <c r="C429" s="15">
        <v>10</v>
      </c>
      <c r="D429" s="16">
        <v>3.5</v>
      </c>
    </row>
    <row r="430" spans="1:4" ht="20" customHeight="1" x14ac:dyDescent="0.35">
      <c r="A430" s="13" t="s">
        <v>481</v>
      </c>
      <c r="B430" s="13" t="s">
        <v>335</v>
      </c>
      <c r="C430" s="15">
        <v>10</v>
      </c>
      <c r="D430" s="16">
        <v>3.5</v>
      </c>
    </row>
    <row r="431" spans="1:4" ht="20" customHeight="1" x14ac:dyDescent="0.35">
      <c r="A431" s="13" t="s">
        <v>482</v>
      </c>
      <c r="B431" s="13" t="s">
        <v>335</v>
      </c>
      <c r="C431" s="15">
        <v>10</v>
      </c>
      <c r="D431" s="16">
        <v>3.5</v>
      </c>
    </row>
    <row r="432" spans="1:4" ht="20" customHeight="1" x14ac:dyDescent="0.35">
      <c r="A432" s="13" t="s">
        <v>483</v>
      </c>
      <c r="B432" s="13" t="s">
        <v>335</v>
      </c>
      <c r="C432" s="15">
        <v>10</v>
      </c>
      <c r="D432" s="16">
        <v>3.5</v>
      </c>
    </row>
    <row r="433" spans="1:4" ht="20" customHeight="1" x14ac:dyDescent="0.35">
      <c r="A433" s="13" t="s">
        <v>484</v>
      </c>
      <c r="B433" s="13" t="s">
        <v>335</v>
      </c>
      <c r="C433" s="15">
        <v>10</v>
      </c>
      <c r="D433" s="16">
        <v>3.5</v>
      </c>
    </row>
    <row r="434" spans="1:4" ht="20" customHeight="1" x14ac:dyDescent="0.35">
      <c r="A434" s="13" t="s">
        <v>485</v>
      </c>
      <c r="B434" s="13" t="s">
        <v>335</v>
      </c>
      <c r="C434" s="15">
        <v>10</v>
      </c>
      <c r="D434" s="16">
        <v>3</v>
      </c>
    </row>
    <row r="435" spans="1:4" ht="20" customHeight="1" x14ac:dyDescent="0.35">
      <c r="A435" s="13" t="s">
        <v>486</v>
      </c>
      <c r="B435" s="13" t="s">
        <v>335</v>
      </c>
      <c r="C435" s="15">
        <v>10</v>
      </c>
      <c r="D435" s="16">
        <v>3</v>
      </c>
    </row>
    <row r="436" spans="1:4" ht="20" customHeight="1" x14ac:dyDescent="0.35">
      <c r="A436" s="13" t="s">
        <v>487</v>
      </c>
      <c r="B436" s="13" t="s">
        <v>335</v>
      </c>
      <c r="C436" s="15">
        <v>10</v>
      </c>
      <c r="D436" s="16">
        <v>3</v>
      </c>
    </row>
    <row r="437" spans="1:4" ht="20" customHeight="1" x14ac:dyDescent="0.35">
      <c r="A437" s="13" t="s">
        <v>488</v>
      </c>
      <c r="B437" s="13" t="s">
        <v>335</v>
      </c>
      <c r="C437" s="15">
        <v>10</v>
      </c>
      <c r="D437" s="16">
        <v>3</v>
      </c>
    </row>
    <row r="438" spans="1:4" ht="20" customHeight="1" x14ac:dyDescent="0.35">
      <c r="A438" s="13" t="s">
        <v>489</v>
      </c>
      <c r="B438" s="13" t="s">
        <v>335</v>
      </c>
      <c r="C438" s="15">
        <v>10</v>
      </c>
      <c r="D438" s="16">
        <v>3</v>
      </c>
    </row>
    <row r="439" spans="1:4" ht="20" customHeight="1" x14ac:dyDescent="0.35">
      <c r="A439" s="13" t="s">
        <v>490</v>
      </c>
      <c r="B439" s="13" t="s">
        <v>335</v>
      </c>
      <c r="C439" s="15">
        <v>10</v>
      </c>
      <c r="D439" s="16">
        <v>2</v>
      </c>
    </row>
    <row r="440" spans="1:4" ht="20" customHeight="1" x14ac:dyDescent="0.35">
      <c r="A440" s="13" t="s">
        <v>491</v>
      </c>
      <c r="B440" s="13" t="s">
        <v>335</v>
      </c>
      <c r="C440" s="15">
        <v>10</v>
      </c>
      <c r="D440" s="16">
        <v>2</v>
      </c>
    </row>
    <row r="441" spans="1:4" ht="20" customHeight="1" x14ac:dyDescent="0.35">
      <c r="A441" s="13" t="s">
        <v>492</v>
      </c>
      <c r="B441" s="13" t="s">
        <v>335</v>
      </c>
      <c r="C441" s="15">
        <v>10</v>
      </c>
      <c r="D441" s="16">
        <v>2</v>
      </c>
    </row>
    <row r="442" spans="1:4" ht="20" customHeight="1" x14ac:dyDescent="0.35">
      <c r="A442" s="13" t="s">
        <v>493</v>
      </c>
      <c r="B442" s="13" t="s">
        <v>335</v>
      </c>
      <c r="C442" s="15">
        <v>10</v>
      </c>
      <c r="D442" s="16">
        <v>2</v>
      </c>
    </row>
    <row r="443" spans="1:4" ht="20" customHeight="1" x14ac:dyDescent="0.35">
      <c r="A443" s="13" t="s">
        <v>494</v>
      </c>
      <c r="B443" s="13" t="s">
        <v>335</v>
      </c>
      <c r="C443" s="15">
        <v>10</v>
      </c>
      <c r="D443" s="16">
        <v>2</v>
      </c>
    </row>
    <row r="444" spans="1:4" ht="20" customHeight="1" x14ac:dyDescent="0.35">
      <c r="A444" s="13" t="s">
        <v>495</v>
      </c>
      <c r="B444" s="13" t="s">
        <v>335</v>
      </c>
      <c r="C444" s="16">
        <v>9</v>
      </c>
      <c r="D444" s="16">
        <v>9</v>
      </c>
    </row>
    <row r="445" spans="1:4" ht="20" customHeight="1" x14ac:dyDescent="0.35">
      <c r="A445" s="14" t="s">
        <v>496</v>
      </c>
      <c r="B445" s="13" t="s">
        <v>335</v>
      </c>
      <c r="C445" s="16">
        <v>9</v>
      </c>
      <c r="D445" s="16">
        <v>9</v>
      </c>
    </row>
    <row r="446" spans="1:4" ht="20" customHeight="1" x14ac:dyDescent="0.35">
      <c r="A446" s="14" t="s">
        <v>497</v>
      </c>
      <c r="B446" s="13" t="s">
        <v>335</v>
      </c>
      <c r="C446" s="16">
        <v>9</v>
      </c>
      <c r="D446" s="16">
        <v>9</v>
      </c>
    </row>
    <row r="447" spans="1:4" ht="20" customHeight="1" x14ac:dyDescent="0.35">
      <c r="A447" s="14" t="s">
        <v>498</v>
      </c>
      <c r="B447" s="13" t="s">
        <v>335</v>
      </c>
      <c r="C447" s="16">
        <v>9</v>
      </c>
      <c r="D447" s="16">
        <v>9</v>
      </c>
    </row>
    <row r="448" spans="1:4" ht="20" customHeight="1" x14ac:dyDescent="0.35">
      <c r="A448" s="14" t="s">
        <v>499</v>
      </c>
      <c r="B448" s="13" t="s">
        <v>335</v>
      </c>
      <c r="C448" s="16">
        <v>9</v>
      </c>
      <c r="D448" s="16">
        <v>9</v>
      </c>
    </row>
    <row r="449" spans="1:4" ht="20" customHeight="1" x14ac:dyDescent="0.35">
      <c r="A449" s="14" t="s">
        <v>500</v>
      </c>
      <c r="B449" s="13" t="s">
        <v>335</v>
      </c>
      <c r="C449" s="16">
        <v>9</v>
      </c>
      <c r="D449" s="16">
        <v>9</v>
      </c>
    </row>
    <row r="450" spans="1:4" ht="20" customHeight="1" x14ac:dyDescent="0.35">
      <c r="A450" s="13" t="s">
        <v>501</v>
      </c>
      <c r="B450" s="13" t="s">
        <v>335</v>
      </c>
      <c r="C450" s="16">
        <v>9</v>
      </c>
      <c r="D450" s="16">
        <v>9</v>
      </c>
    </row>
    <row r="451" spans="1:4" ht="20" customHeight="1" x14ac:dyDescent="0.35">
      <c r="A451" s="13" t="s">
        <v>502</v>
      </c>
      <c r="B451" s="13" t="s">
        <v>335</v>
      </c>
      <c r="C451" s="16">
        <v>9</v>
      </c>
      <c r="D451" s="16">
        <v>7</v>
      </c>
    </row>
    <row r="452" spans="1:4" ht="20" customHeight="1" x14ac:dyDescent="0.35">
      <c r="A452" s="13" t="s">
        <v>503</v>
      </c>
      <c r="B452" s="13" t="s">
        <v>335</v>
      </c>
      <c r="C452" s="16">
        <v>9</v>
      </c>
      <c r="D452" s="16">
        <v>7</v>
      </c>
    </row>
    <row r="453" spans="1:4" ht="20" customHeight="1" x14ac:dyDescent="0.35">
      <c r="A453" s="13" t="s">
        <v>504</v>
      </c>
      <c r="B453" s="13" t="s">
        <v>335</v>
      </c>
      <c r="C453" s="16">
        <v>9</v>
      </c>
      <c r="D453" s="16">
        <v>7</v>
      </c>
    </row>
    <row r="454" spans="1:4" ht="20" customHeight="1" x14ac:dyDescent="0.35">
      <c r="A454" s="13" t="s">
        <v>505</v>
      </c>
      <c r="B454" s="13" t="s">
        <v>335</v>
      </c>
      <c r="C454" s="16">
        <v>9</v>
      </c>
      <c r="D454" s="16">
        <v>7</v>
      </c>
    </row>
    <row r="455" spans="1:4" ht="20" customHeight="1" x14ac:dyDescent="0.35">
      <c r="A455" s="13" t="s">
        <v>506</v>
      </c>
      <c r="B455" s="13" t="s">
        <v>335</v>
      </c>
      <c r="C455" s="16">
        <v>9</v>
      </c>
      <c r="D455" s="16">
        <v>7</v>
      </c>
    </row>
    <row r="456" spans="1:4" ht="20" customHeight="1" x14ac:dyDescent="0.35">
      <c r="A456" s="13" t="s">
        <v>507</v>
      </c>
      <c r="B456" s="13" t="s">
        <v>335</v>
      </c>
      <c r="C456" s="16">
        <v>9</v>
      </c>
      <c r="D456" s="16">
        <v>7</v>
      </c>
    </row>
    <row r="457" spans="1:4" ht="20" customHeight="1" x14ac:dyDescent="0.35">
      <c r="A457" s="13" t="s">
        <v>508</v>
      </c>
      <c r="B457" s="13" t="s">
        <v>335</v>
      </c>
      <c r="C457" s="16">
        <v>9</v>
      </c>
      <c r="D457" s="16">
        <v>5</v>
      </c>
    </row>
    <row r="458" spans="1:4" ht="20" customHeight="1" x14ac:dyDescent="0.35">
      <c r="A458" s="13" t="s">
        <v>509</v>
      </c>
      <c r="B458" s="13" t="s">
        <v>335</v>
      </c>
      <c r="C458" s="16">
        <v>9</v>
      </c>
      <c r="D458" s="16">
        <v>5</v>
      </c>
    </row>
    <row r="459" spans="1:4" ht="20" customHeight="1" x14ac:dyDescent="0.35">
      <c r="A459" s="13" t="s">
        <v>510</v>
      </c>
      <c r="B459" s="13" t="s">
        <v>335</v>
      </c>
      <c r="C459" s="16">
        <v>9</v>
      </c>
      <c r="D459" s="16">
        <v>5</v>
      </c>
    </row>
    <row r="460" spans="1:4" ht="20" customHeight="1" x14ac:dyDescent="0.35">
      <c r="A460" s="13" t="s">
        <v>511</v>
      </c>
      <c r="B460" s="13" t="s">
        <v>335</v>
      </c>
      <c r="C460" s="16">
        <v>9</v>
      </c>
      <c r="D460" s="16">
        <v>5</v>
      </c>
    </row>
    <row r="461" spans="1:4" ht="20" customHeight="1" x14ac:dyDescent="0.35">
      <c r="A461" s="13" t="s">
        <v>512</v>
      </c>
      <c r="B461" s="13" t="s">
        <v>335</v>
      </c>
      <c r="C461" s="16">
        <v>9</v>
      </c>
      <c r="D461" s="16">
        <v>5</v>
      </c>
    </row>
    <row r="462" spans="1:4" ht="20" customHeight="1" x14ac:dyDescent="0.35">
      <c r="A462" s="13" t="s">
        <v>513</v>
      </c>
      <c r="B462" s="13" t="s">
        <v>335</v>
      </c>
      <c r="C462" s="16">
        <v>9</v>
      </c>
      <c r="D462" s="16">
        <v>5</v>
      </c>
    </row>
    <row r="463" spans="1:4" ht="20" customHeight="1" x14ac:dyDescent="0.35">
      <c r="A463" s="13" t="s">
        <v>514</v>
      </c>
      <c r="B463" s="13" t="s">
        <v>335</v>
      </c>
      <c r="C463" s="16">
        <v>9</v>
      </c>
      <c r="D463" s="16">
        <v>3</v>
      </c>
    </row>
    <row r="464" spans="1:4" ht="20" customHeight="1" x14ac:dyDescent="0.35">
      <c r="A464" s="13" t="s">
        <v>515</v>
      </c>
      <c r="B464" s="13" t="s">
        <v>335</v>
      </c>
      <c r="C464" s="16">
        <v>9</v>
      </c>
      <c r="D464" s="16">
        <v>3</v>
      </c>
    </row>
    <row r="465" spans="1:4" ht="20" customHeight="1" x14ac:dyDescent="0.35">
      <c r="A465" s="13" t="s">
        <v>516</v>
      </c>
      <c r="B465" s="13" t="s">
        <v>335</v>
      </c>
      <c r="C465" s="16">
        <v>9</v>
      </c>
      <c r="D465" s="16">
        <v>3</v>
      </c>
    </row>
    <row r="466" spans="1:4" ht="20" customHeight="1" x14ac:dyDescent="0.35">
      <c r="A466" s="13" t="s">
        <v>517</v>
      </c>
      <c r="B466" s="13" t="s">
        <v>335</v>
      </c>
      <c r="C466" s="16">
        <v>9</v>
      </c>
      <c r="D466" s="16">
        <v>3</v>
      </c>
    </row>
    <row r="467" spans="1:4" ht="20" customHeight="1" x14ac:dyDescent="0.35">
      <c r="A467" s="13" t="s">
        <v>518</v>
      </c>
      <c r="B467" s="13" t="s">
        <v>335</v>
      </c>
      <c r="C467" s="16">
        <v>9</v>
      </c>
      <c r="D467" s="16">
        <v>3</v>
      </c>
    </row>
    <row r="468" spans="1:4" ht="20" customHeight="1" x14ac:dyDescent="0.35">
      <c r="A468" s="13" t="s">
        <v>519</v>
      </c>
      <c r="B468" s="13" t="s">
        <v>335</v>
      </c>
      <c r="C468" s="16">
        <v>8</v>
      </c>
      <c r="D468" s="16">
        <v>8</v>
      </c>
    </row>
    <row r="469" spans="1:4" ht="20" customHeight="1" x14ac:dyDescent="0.35">
      <c r="A469" s="13" t="s">
        <v>520</v>
      </c>
      <c r="B469" s="13" t="s">
        <v>335</v>
      </c>
      <c r="C469" s="16">
        <v>8</v>
      </c>
      <c r="D469" s="16">
        <v>8</v>
      </c>
    </row>
    <row r="470" spans="1:4" ht="20" customHeight="1" x14ac:dyDescent="0.35">
      <c r="A470" s="13" t="s">
        <v>521</v>
      </c>
      <c r="B470" s="13" t="s">
        <v>335</v>
      </c>
      <c r="C470" s="16">
        <v>8</v>
      </c>
      <c r="D470" s="16">
        <v>8</v>
      </c>
    </row>
    <row r="471" spans="1:4" ht="20" customHeight="1" x14ac:dyDescent="0.35">
      <c r="A471" s="13" t="s">
        <v>522</v>
      </c>
      <c r="B471" s="13" t="s">
        <v>335</v>
      </c>
      <c r="C471" s="16">
        <v>8</v>
      </c>
      <c r="D471" s="16">
        <v>8</v>
      </c>
    </row>
    <row r="472" spans="1:4" ht="20" customHeight="1" x14ac:dyDescent="0.35">
      <c r="A472" s="13" t="s">
        <v>523</v>
      </c>
      <c r="B472" s="13" t="s">
        <v>335</v>
      </c>
      <c r="C472" s="16">
        <v>8</v>
      </c>
      <c r="D472" s="16">
        <v>8</v>
      </c>
    </row>
    <row r="473" spans="1:4" ht="20" customHeight="1" x14ac:dyDescent="0.35">
      <c r="A473" s="13" t="s">
        <v>524</v>
      </c>
      <c r="B473" s="13" t="s">
        <v>335</v>
      </c>
      <c r="C473" s="16">
        <v>8</v>
      </c>
      <c r="D473" s="16">
        <v>8</v>
      </c>
    </row>
    <row r="474" spans="1:4" ht="20" customHeight="1" x14ac:dyDescent="0.35">
      <c r="A474" s="13" t="s">
        <v>525</v>
      </c>
      <c r="B474" s="13" t="s">
        <v>335</v>
      </c>
      <c r="C474" s="16">
        <v>8</v>
      </c>
      <c r="D474" s="16">
        <v>8</v>
      </c>
    </row>
    <row r="475" spans="1:4" ht="20" customHeight="1" x14ac:dyDescent="0.35">
      <c r="A475" s="13" t="s">
        <v>526</v>
      </c>
      <c r="B475" s="13" t="s">
        <v>335</v>
      </c>
      <c r="C475" s="16">
        <v>8</v>
      </c>
      <c r="D475" s="16">
        <v>6</v>
      </c>
    </row>
    <row r="476" spans="1:4" ht="20" customHeight="1" x14ac:dyDescent="0.35">
      <c r="A476" s="13" t="s">
        <v>527</v>
      </c>
      <c r="B476" s="13" t="s">
        <v>335</v>
      </c>
      <c r="C476" s="16">
        <v>8</v>
      </c>
      <c r="D476" s="16">
        <v>6</v>
      </c>
    </row>
    <row r="477" spans="1:4" ht="20" customHeight="1" x14ac:dyDescent="0.35">
      <c r="A477" s="13" t="s">
        <v>528</v>
      </c>
      <c r="B477" s="13" t="s">
        <v>335</v>
      </c>
      <c r="C477" s="16">
        <v>8</v>
      </c>
      <c r="D477" s="16">
        <v>6</v>
      </c>
    </row>
    <row r="478" spans="1:4" ht="20" customHeight="1" x14ac:dyDescent="0.35">
      <c r="A478" s="13" t="s">
        <v>529</v>
      </c>
      <c r="B478" s="13" t="s">
        <v>335</v>
      </c>
      <c r="C478" s="16">
        <v>8</v>
      </c>
      <c r="D478" s="16">
        <v>6</v>
      </c>
    </row>
    <row r="479" spans="1:4" ht="20" customHeight="1" x14ac:dyDescent="0.35">
      <c r="A479" s="13" t="s">
        <v>530</v>
      </c>
      <c r="B479" s="13" t="s">
        <v>335</v>
      </c>
      <c r="C479" s="16">
        <v>8</v>
      </c>
      <c r="D479" s="16">
        <v>6</v>
      </c>
    </row>
    <row r="480" spans="1:4" ht="20" customHeight="1" x14ac:dyDescent="0.35">
      <c r="A480" s="13" t="s">
        <v>531</v>
      </c>
      <c r="B480" s="13" t="s">
        <v>335</v>
      </c>
      <c r="C480" s="16">
        <v>8</v>
      </c>
      <c r="D480" s="16">
        <v>6</v>
      </c>
    </row>
    <row r="481" spans="1:4" ht="20" customHeight="1" x14ac:dyDescent="0.35">
      <c r="A481" s="13" t="s">
        <v>532</v>
      </c>
      <c r="B481" s="13" t="s">
        <v>335</v>
      </c>
      <c r="C481" s="16">
        <v>8</v>
      </c>
      <c r="D481" s="16">
        <v>4</v>
      </c>
    </row>
    <row r="482" spans="1:4" ht="20" customHeight="1" x14ac:dyDescent="0.35">
      <c r="A482" s="13" t="s">
        <v>533</v>
      </c>
      <c r="B482" s="13" t="s">
        <v>335</v>
      </c>
      <c r="C482" s="16">
        <v>8</v>
      </c>
      <c r="D482" s="16">
        <v>4</v>
      </c>
    </row>
    <row r="483" spans="1:4" ht="20" customHeight="1" x14ac:dyDescent="0.35">
      <c r="A483" s="13" t="s">
        <v>534</v>
      </c>
      <c r="B483" s="13" t="s">
        <v>335</v>
      </c>
      <c r="C483" s="16">
        <v>8</v>
      </c>
      <c r="D483" s="16">
        <v>4</v>
      </c>
    </row>
    <row r="484" spans="1:4" ht="20" customHeight="1" x14ac:dyDescent="0.35">
      <c r="A484" s="13" t="s">
        <v>535</v>
      </c>
      <c r="B484" s="13" t="s">
        <v>335</v>
      </c>
      <c r="C484" s="16">
        <v>8</v>
      </c>
      <c r="D484" s="16">
        <v>4</v>
      </c>
    </row>
    <row r="485" spans="1:4" ht="20" customHeight="1" x14ac:dyDescent="0.35">
      <c r="A485" s="13" t="s">
        <v>536</v>
      </c>
      <c r="B485" s="13" t="s">
        <v>335</v>
      </c>
      <c r="C485" s="16">
        <v>8</v>
      </c>
      <c r="D485" s="16">
        <v>4</v>
      </c>
    </row>
    <row r="486" spans="1:4" ht="20" customHeight="1" x14ac:dyDescent="0.35">
      <c r="A486" s="13" t="s">
        <v>537</v>
      </c>
      <c r="B486" s="13" t="s">
        <v>335</v>
      </c>
      <c r="C486" s="16">
        <v>8</v>
      </c>
      <c r="D486" s="16">
        <v>4</v>
      </c>
    </row>
    <row r="487" spans="1:4" ht="20" customHeight="1" x14ac:dyDescent="0.35">
      <c r="A487" s="13" t="s">
        <v>538</v>
      </c>
      <c r="B487" s="13" t="s">
        <v>335</v>
      </c>
      <c r="C487" s="16">
        <v>8</v>
      </c>
      <c r="D487" s="16">
        <v>4</v>
      </c>
    </row>
    <row r="488" spans="1:4" ht="20" customHeight="1" x14ac:dyDescent="0.35">
      <c r="A488" s="13" t="s">
        <v>539</v>
      </c>
      <c r="B488" s="13" t="s">
        <v>335</v>
      </c>
      <c r="C488" s="16">
        <v>8</v>
      </c>
      <c r="D488" s="16">
        <v>3</v>
      </c>
    </row>
    <row r="489" spans="1:4" ht="20" customHeight="1" x14ac:dyDescent="0.35">
      <c r="A489" s="13" t="s">
        <v>540</v>
      </c>
      <c r="B489" s="13" t="s">
        <v>335</v>
      </c>
      <c r="C489" s="16">
        <v>8</v>
      </c>
      <c r="D489" s="16">
        <v>3</v>
      </c>
    </row>
    <row r="490" spans="1:4" ht="20" customHeight="1" x14ac:dyDescent="0.35">
      <c r="A490" s="13" t="s">
        <v>541</v>
      </c>
      <c r="B490" s="13" t="s">
        <v>335</v>
      </c>
      <c r="C490" s="16">
        <v>8</v>
      </c>
      <c r="D490" s="16">
        <v>3</v>
      </c>
    </row>
    <row r="491" spans="1:4" ht="20" customHeight="1" x14ac:dyDescent="0.35">
      <c r="A491" s="13" t="s">
        <v>542</v>
      </c>
      <c r="B491" s="13" t="s">
        <v>335</v>
      </c>
      <c r="C491" s="16">
        <v>8</v>
      </c>
      <c r="D491" s="16">
        <v>3</v>
      </c>
    </row>
    <row r="492" spans="1:4" ht="20" customHeight="1" x14ac:dyDescent="0.35">
      <c r="A492" s="13" t="s">
        <v>543</v>
      </c>
      <c r="B492" s="13" t="s">
        <v>335</v>
      </c>
      <c r="C492" s="16">
        <v>8</v>
      </c>
      <c r="D492" s="16">
        <v>3</v>
      </c>
    </row>
    <row r="493" spans="1:4" ht="20" customHeight="1" x14ac:dyDescent="0.35">
      <c r="A493" s="13" t="s">
        <v>544</v>
      </c>
      <c r="B493" s="13" t="s">
        <v>335</v>
      </c>
      <c r="C493" s="16">
        <v>8</v>
      </c>
      <c r="D493" s="16">
        <v>3</v>
      </c>
    </row>
    <row r="494" spans="1:4" ht="20" customHeight="1" x14ac:dyDescent="0.35">
      <c r="A494" s="13" t="s">
        <v>545</v>
      </c>
      <c r="B494" s="13" t="s">
        <v>335</v>
      </c>
      <c r="C494" s="16">
        <v>8</v>
      </c>
      <c r="D494" s="16">
        <v>2</v>
      </c>
    </row>
    <row r="495" spans="1:4" ht="20" customHeight="1" x14ac:dyDescent="0.35">
      <c r="A495" s="13" t="s">
        <v>546</v>
      </c>
      <c r="B495" s="13" t="s">
        <v>335</v>
      </c>
      <c r="C495" s="16">
        <v>8</v>
      </c>
      <c r="D495" s="16">
        <v>2</v>
      </c>
    </row>
    <row r="496" spans="1:4" ht="20" customHeight="1" x14ac:dyDescent="0.35">
      <c r="A496" s="13" t="s">
        <v>547</v>
      </c>
      <c r="B496" s="13" t="s">
        <v>335</v>
      </c>
      <c r="C496" s="16">
        <v>8</v>
      </c>
      <c r="D496" s="16">
        <v>2</v>
      </c>
    </row>
    <row r="497" spans="1:4" ht="20" customHeight="1" x14ac:dyDescent="0.35">
      <c r="A497" s="13" t="s">
        <v>548</v>
      </c>
      <c r="B497" s="13" t="s">
        <v>335</v>
      </c>
      <c r="C497" s="16">
        <v>8</v>
      </c>
      <c r="D497" s="16">
        <v>2</v>
      </c>
    </row>
    <row r="498" spans="1:4" ht="20" customHeight="1" x14ac:dyDescent="0.35">
      <c r="A498" s="13" t="s">
        <v>549</v>
      </c>
      <c r="B498" s="13" t="s">
        <v>335</v>
      </c>
      <c r="C498" s="16">
        <v>8</v>
      </c>
      <c r="D498" s="16">
        <v>2</v>
      </c>
    </row>
    <row r="499" spans="1:4" ht="20" customHeight="1" x14ac:dyDescent="0.35">
      <c r="A499" s="13" t="s">
        <v>550</v>
      </c>
      <c r="B499" s="13" t="s">
        <v>335</v>
      </c>
      <c r="C499" s="16">
        <v>7</v>
      </c>
      <c r="D499" s="16">
        <v>7</v>
      </c>
    </row>
    <row r="500" spans="1:4" ht="20" customHeight="1" x14ac:dyDescent="0.35">
      <c r="A500" s="13" t="s">
        <v>551</v>
      </c>
      <c r="B500" s="13" t="s">
        <v>335</v>
      </c>
      <c r="C500" s="16">
        <v>7</v>
      </c>
      <c r="D500" s="16">
        <v>7</v>
      </c>
    </row>
    <row r="501" spans="1:4" ht="20" customHeight="1" x14ac:dyDescent="0.35">
      <c r="A501" s="13" t="s">
        <v>552</v>
      </c>
      <c r="B501" s="13" t="s">
        <v>335</v>
      </c>
      <c r="C501" s="16">
        <v>7</v>
      </c>
      <c r="D501" s="16">
        <v>7</v>
      </c>
    </row>
    <row r="502" spans="1:4" ht="20" customHeight="1" x14ac:dyDescent="0.35">
      <c r="A502" s="13" t="s">
        <v>553</v>
      </c>
      <c r="B502" s="13" t="s">
        <v>335</v>
      </c>
      <c r="C502" s="16">
        <v>7</v>
      </c>
      <c r="D502" s="16">
        <v>7</v>
      </c>
    </row>
    <row r="503" spans="1:4" ht="20" customHeight="1" x14ac:dyDescent="0.35">
      <c r="A503" s="13" t="s">
        <v>554</v>
      </c>
      <c r="B503" s="13" t="s">
        <v>335</v>
      </c>
      <c r="C503" s="16">
        <v>7</v>
      </c>
      <c r="D503" s="16">
        <v>7</v>
      </c>
    </row>
    <row r="504" spans="1:4" ht="20" customHeight="1" x14ac:dyDescent="0.35">
      <c r="A504" s="13" t="s">
        <v>555</v>
      </c>
      <c r="B504" s="13" t="s">
        <v>335</v>
      </c>
      <c r="C504" s="16">
        <v>7</v>
      </c>
      <c r="D504" s="16">
        <v>7</v>
      </c>
    </row>
    <row r="505" spans="1:4" ht="20" customHeight="1" x14ac:dyDescent="0.35">
      <c r="A505" s="13" t="s">
        <v>556</v>
      </c>
      <c r="B505" s="13" t="s">
        <v>335</v>
      </c>
      <c r="C505" s="16">
        <v>7</v>
      </c>
      <c r="D505" s="16">
        <v>7</v>
      </c>
    </row>
    <row r="506" spans="1:4" ht="20" customHeight="1" x14ac:dyDescent="0.35">
      <c r="A506" s="13" t="s">
        <v>557</v>
      </c>
      <c r="B506" s="13" t="s">
        <v>335</v>
      </c>
      <c r="C506" s="16">
        <v>7</v>
      </c>
      <c r="D506" s="16">
        <v>5</v>
      </c>
    </row>
    <row r="507" spans="1:4" ht="20" customHeight="1" x14ac:dyDescent="0.35">
      <c r="A507" s="13" t="s">
        <v>558</v>
      </c>
      <c r="B507" s="13" t="s">
        <v>335</v>
      </c>
      <c r="C507" s="16">
        <v>7</v>
      </c>
      <c r="D507" s="16">
        <v>5</v>
      </c>
    </row>
    <row r="508" spans="1:4" ht="20" customHeight="1" x14ac:dyDescent="0.35">
      <c r="A508" s="13" t="s">
        <v>559</v>
      </c>
      <c r="B508" s="13" t="s">
        <v>335</v>
      </c>
      <c r="C508" s="16">
        <v>7</v>
      </c>
      <c r="D508" s="16">
        <v>5</v>
      </c>
    </row>
    <row r="509" spans="1:4" ht="20" customHeight="1" x14ac:dyDescent="0.35">
      <c r="A509" s="13" t="s">
        <v>560</v>
      </c>
      <c r="B509" s="13" t="s">
        <v>335</v>
      </c>
      <c r="C509" s="16">
        <v>7</v>
      </c>
      <c r="D509" s="16">
        <v>5</v>
      </c>
    </row>
    <row r="510" spans="1:4" ht="20" customHeight="1" x14ac:dyDescent="0.35">
      <c r="A510" s="13" t="s">
        <v>561</v>
      </c>
      <c r="B510" s="13" t="s">
        <v>335</v>
      </c>
      <c r="C510" s="16">
        <v>7</v>
      </c>
      <c r="D510" s="16">
        <v>5</v>
      </c>
    </row>
    <row r="511" spans="1:4" ht="20" customHeight="1" x14ac:dyDescent="0.35">
      <c r="A511" s="13" t="s">
        <v>562</v>
      </c>
      <c r="B511" s="13" t="s">
        <v>335</v>
      </c>
      <c r="C511" s="16">
        <v>7</v>
      </c>
      <c r="D511" s="16">
        <v>5</v>
      </c>
    </row>
    <row r="512" spans="1:4" ht="20" customHeight="1" x14ac:dyDescent="0.35">
      <c r="A512" s="13" t="s">
        <v>563</v>
      </c>
      <c r="B512" s="13" t="s">
        <v>335</v>
      </c>
      <c r="C512" s="16">
        <v>7</v>
      </c>
      <c r="D512" s="16">
        <v>4</v>
      </c>
    </row>
    <row r="513" spans="1:4" ht="20" customHeight="1" x14ac:dyDescent="0.35">
      <c r="A513" s="13" t="s">
        <v>564</v>
      </c>
      <c r="B513" s="13" t="s">
        <v>335</v>
      </c>
      <c r="C513" s="16">
        <v>7</v>
      </c>
      <c r="D513" s="16">
        <v>4</v>
      </c>
    </row>
    <row r="514" spans="1:4" ht="20" customHeight="1" x14ac:dyDescent="0.35">
      <c r="A514" s="13" t="s">
        <v>565</v>
      </c>
      <c r="B514" s="13" t="s">
        <v>335</v>
      </c>
      <c r="C514" s="16">
        <v>7</v>
      </c>
      <c r="D514" s="16">
        <v>4</v>
      </c>
    </row>
    <row r="515" spans="1:4" ht="20" customHeight="1" x14ac:dyDescent="0.35">
      <c r="A515" s="13" t="s">
        <v>566</v>
      </c>
      <c r="B515" s="13" t="s">
        <v>335</v>
      </c>
      <c r="C515" s="16">
        <v>7</v>
      </c>
      <c r="D515" s="16">
        <v>4</v>
      </c>
    </row>
    <row r="516" spans="1:4" ht="20" customHeight="1" x14ac:dyDescent="0.35">
      <c r="A516" s="13" t="s">
        <v>567</v>
      </c>
      <c r="B516" s="13" t="s">
        <v>335</v>
      </c>
      <c r="C516" s="16">
        <v>7</v>
      </c>
      <c r="D516" s="16">
        <v>4</v>
      </c>
    </row>
    <row r="517" spans="1:4" ht="20" customHeight="1" x14ac:dyDescent="0.35">
      <c r="A517" s="13" t="s">
        <v>568</v>
      </c>
      <c r="B517" s="13" t="s">
        <v>335</v>
      </c>
      <c r="C517" s="16">
        <v>7</v>
      </c>
      <c r="D517" s="16">
        <v>4</v>
      </c>
    </row>
    <row r="518" spans="1:4" ht="20" customHeight="1" x14ac:dyDescent="0.35">
      <c r="A518" s="13" t="s">
        <v>569</v>
      </c>
      <c r="B518" s="13" t="s">
        <v>335</v>
      </c>
      <c r="C518" s="16">
        <v>7</v>
      </c>
      <c r="D518" s="16">
        <v>3</v>
      </c>
    </row>
    <row r="519" spans="1:4" ht="20" customHeight="1" x14ac:dyDescent="0.35">
      <c r="A519" s="13" t="s">
        <v>570</v>
      </c>
      <c r="B519" s="13" t="s">
        <v>335</v>
      </c>
      <c r="C519" s="16">
        <v>7</v>
      </c>
      <c r="D519" s="16">
        <v>3</v>
      </c>
    </row>
    <row r="520" spans="1:4" ht="20" customHeight="1" x14ac:dyDescent="0.35">
      <c r="A520" s="13" t="s">
        <v>571</v>
      </c>
      <c r="B520" s="13" t="s">
        <v>335</v>
      </c>
      <c r="C520" s="16">
        <v>7</v>
      </c>
      <c r="D520" s="16">
        <v>3</v>
      </c>
    </row>
    <row r="521" spans="1:4" ht="20" customHeight="1" x14ac:dyDescent="0.35">
      <c r="A521" s="13" t="s">
        <v>572</v>
      </c>
      <c r="B521" s="13" t="s">
        <v>335</v>
      </c>
      <c r="C521" s="16">
        <v>7</v>
      </c>
      <c r="D521" s="16">
        <v>3</v>
      </c>
    </row>
    <row r="522" spans="1:4" ht="20" customHeight="1" x14ac:dyDescent="0.35">
      <c r="A522" s="13" t="s">
        <v>573</v>
      </c>
      <c r="B522" s="13" t="s">
        <v>335</v>
      </c>
      <c r="C522" s="16">
        <v>7</v>
      </c>
      <c r="D522" s="16">
        <v>3</v>
      </c>
    </row>
    <row r="523" spans="1:4" ht="20" customHeight="1" x14ac:dyDescent="0.35">
      <c r="A523" s="13" t="s">
        <v>574</v>
      </c>
      <c r="B523" s="13" t="s">
        <v>335</v>
      </c>
      <c r="C523" s="16">
        <v>7</v>
      </c>
      <c r="D523" s="16">
        <v>3</v>
      </c>
    </row>
    <row r="524" spans="1:4" ht="20" customHeight="1" x14ac:dyDescent="0.35">
      <c r="A524" s="13" t="s">
        <v>575</v>
      </c>
      <c r="B524" s="13" t="s">
        <v>335</v>
      </c>
      <c r="C524" s="16">
        <v>7</v>
      </c>
      <c r="D524" s="16">
        <v>2</v>
      </c>
    </row>
    <row r="525" spans="1:4" ht="20" customHeight="1" x14ac:dyDescent="0.35">
      <c r="A525" s="13" t="s">
        <v>576</v>
      </c>
      <c r="B525" s="13" t="s">
        <v>335</v>
      </c>
      <c r="C525" s="16">
        <v>7</v>
      </c>
      <c r="D525" s="16">
        <v>2</v>
      </c>
    </row>
    <row r="526" spans="1:4" ht="20" customHeight="1" x14ac:dyDescent="0.35">
      <c r="A526" s="13" t="s">
        <v>577</v>
      </c>
      <c r="B526" s="13" t="s">
        <v>335</v>
      </c>
      <c r="C526" s="16">
        <v>7</v>
      </c>
      <c r="D526" s="16">
        <v>2</v>
      </c>
    </row>
    <row r="527" spans="1:4" ht="20" customHeight="1" x14ac:dyDescent="0.35">
      <c r="A527" s="13" t="s">
        <v>578</v>
      </c>
      <c r="B527" s="13" t="s">
        <v>335</v>
      </c>
      <c r="C527" s="16">
        <v>6</v>
      </c>
      <c r="D527" s="16">
        <v>6</v>
      </c>
    </row>
    <row r="528" spans="1:4" ht="20" customHeight="1" x14ac:dyDescent="0.35">
      <c r="A528" s="13" t="s">
        <v>579</v>
      </c>
      <c r="B528" s="13" t="s">
        <v>335</v>
      </c>
      <c r="C528" s="16">
        <v>6</v>
      </c>
      <c r="D528" s="16">
        <v>6</v>
      </c>
    </row>
    <row r="529" spans="1:4" ht="20" customHeight="1" x14ac:dyDescent="0.35">
      <c r="A529" s="13" t="s">
        <v>580</v>
      </c>
      <c r="B529" s="13" t="s">
        <v>335</v>
      </c>
      <c r="C529" s="16">
        <v>6</v>
      </c>
      <c r="D529" s="16">
        <v>6</v>
      </c>
    </row>
    <row r="530" spans="1:4" ht="20" customHeight="1" x14ac:dyDescent="0.35">
      <c r="A530" s="13" t="s">
        <v>581</v>
      </c>
      <c r="B530" s="13" t="s">
        <v>335</v>
      </c>
      <c r="C530" s="16">
        <v>6</v>
      </c>
      <c r="D530" s="16">
        <v>6</v>
      </c>
    </row>
    <row r="531" spans="1:4" ht="20" customHeight="1" x14ac:dyDescent="0.35">
      <c r="A531" s="13" t="s">
        <v>582</v>
      </c>
      <c r="B531" s="13" t="s">
        <v>335</v>
      </c>
      <c r="C531" s="16">
        <v>6</v>
      </c>
      <c r="D531" s="16">
        <v>6</v>
      </c>
    </row>
    <row r="532" spans="1:4" ht="20" customHeight="1" x14ac:dyDescent="0.35">
      <c r="A532" s="13" t="s">
        <v>583</v>
      </c>
      <c r="B532" s="13" t="s">
        <v>335</v>
      </c>
      <c r="C532" s="16">
        <v>6</v>
      </c>
      <c r="D532" s="16">
        <v>6</v>
      </c>
    </row>
    <row r="533" spans="1:4" ht="20" customHeight="1" x14ac:dyDescent="0.35">
      <c r="A533" s="13" t="s">
        <v>584</v>
      </c>
      <c r="B533" s="13" t="s">
        <v>335</v>
      </c>
      <c r="C533" s="16">
        <v>6</v>
      </c>
      <c r="D533" s="16">
        <v>6</v>
      </c>
    </row>
    <row r="534" spans="1:4" ht="20" customHeight="1" x14ac:dyDescent="0.35">
      <c r="A534" s="13" t="s">
        <v>585</v>
      </c>
      <c r="B534" s="13" t="s">
        <v>335</v>
      </c>
      <c r="C534" s="16">
        <v>6</v>
      </c>
      <c r="D534" s="16">
        <v>5</v>
      </c>
    </row>
    <row r="535" spans="1:4" ht="20" customHeight="1" x14ac:dyDescent="0.35">
      <c r="A535" s="13" t="s">
        <v>586</v>
      </c>
      <c r="B535" s="13" t="s">
        <v>335</v>
      </c>
      <c r="C535" s="16">
        <v>6</v>
      </c>
      <c r="D535" s="16">
        <v>5</v>
      </c>
    </row>
    <row r="536" spans="1:4" ht="20" customHeight="1" x14ac:dyDescent="0.35">
      <c r="A536" s="13" t="s">
        <v>587</v>
      </c>
      <c r="B536" s="13" t="s">
        <v>335</v>
      </c>
      <c r="C536" s="16">
        <v>6</v>
      </c>
      <c r="D536" s="16">
        <v>5</v>
      </c>
    </row>
    <row r="537" spans="1:4" ht="20" customHeight="1" x14ac:dyDescent="0.35">
      <c r="A537" s="13" t="s">
        <v>588</v>
      </c>
      <c r="B537" s="13" t="s">
        <v>335</v>
      </c>
      <c r="C537" s="16">
        <v>6</v>
      </c>
      <c r="D537" s="16">
        <v>5</v>
      </c>
    </row>
    <row r="538" spans="1:4" ht="20" customHeight="1" x14ac:dyDescent="0.35">
      <c r="A538" s="13" t="s">
        <v>589</v>
      </c>
      <c r="B538" s="13" t="s">
        <v>335</v>
      </c>
      <c r="C538" s="16">
        <v>6</v>
      </c>
      <c r="D538" s="16">
        <v>5</v>
      </c>
    </row>
    <row r="539" spans="1:4" ht="20" customHeight="1" x14ac:dyDescent="0.35">
      <c r="A539" s="13" t="s">
        <v>590</v>
      </c>
      <c r="B539" s="13" t="s">
        <v>335</v>
      </c>
      <c r="C539" s="16">
        <v>6</v>
      </c>
      <c r="D539" s="16">
        <v>5</v>
      </c>
    </row>
    <row r="540" spans="1:4" ht="20" customHeight="1" x14ac:dyDescent="0.35">
      <c r="A540" s="13" t="s">
        <v>591</v>
      </c>
      <c r="B540" s="13" t="s">
        <v>335</v>
      </c>
      <c r="C540" s="16">
        <v>6</v>
      </c>
      <c r="D540" s="16">
        <v>4</v>
      </c>
    </row>
    <row r="541" spans="1:4" ht="20" customHeight="1" x14ac:dyDescent="0.35">
      <c r="A541" s="13" t="s">
        <v>592</v>
      </c>
      <c r="B541" s="13" t="s">
        <v>335</v>
      </c>
      <c r="C541" s="16">
        <v>6</v>
      </c>
      <c r="D541" s="16">
        <v>4</v>
      </c>
    </row>
    <row r="542" spans="1:4" ht="20" customHeight="1" x14ac:dyDescent="0.35">
      <c r="A542" s="13" t="s">
        <v>593</v>
      </c>
      <c r="B542" s="13" t="s">
        <v>335</v>
      </c>
      <c r="C542" s="16">
        <v>6</v>
      </c>
      <c r="D542" s="16">
        <v>4</v>
      </c>
    </row>
    <row r="543" spans="1:4" ht="20" customHeight="1" x14ac:dyDescent="0.35">
      <c r="A543" s="13" t="s">
        <v>594</v>
      </c>
      <c r="B543" s="13" t="s">
        <v>335</v>
      </c>
      <c r="C543" s="16">
        <v>6</v>
      </c>
      <c r="D543" s="16">
        <v>4</v>
      </c>
    </row>
    <row r="544" spans="1:4" ht="20" customHeight="1" x14ac:dyDescent="0.35">
      <c r="A544" s="13" t="s">
        <v>595</v>
      </c>
      <c r="B544" s="13" t="s">
        <v>335</v>
      </c>
      <c r="C544" s="16">
        <v>6</v>
      </c>
      <c r="D544" s="16">
        <v>4</v>
      </c>
    </row>
    <row r="545" spans="1:4" ht="20" customHeight="1" x14ac:dyDescent="0.35">
      <c r="A545" s="13" t="s">
        <v>596</v>
      </c>
      <c r="B545" s="13" t="s">
        <v>335</v>
      </c>
      <c r="C545" s="16">
        <v>6</v>
      </c>
      <c r="D545" s="16">
        <v>4</v>
      </c>
    </row>
    <row r="546" spans="1:4" ht="20" customHeight="1" x14ac:dyDescent="0.35">
      <c r="A546" s="13" t="s">
        <v>597</v>
      </c>
      <c r="B546" s="13" t="s">
        <v>335</v>
      </c>
      <c r="C546" s="16">
        <v>6</v>
      </c>
      <c r="D546" s="16">
        <v>3</v>
      </c>
    </row>
    <row r="547" spans="1:4" ht="20" customHeight="1" x14ac:dyDescent="0.35">
      <c r="A547" s="13" t="s">
        <v>598</v>
      </c>
      <c r="B547" s="13" t="s">
        <v>335</v>
      </c>
      <c r="C547" s="16">
        <v>6</v>
      </c>
      <c r="D547" s="16">
        <v>3</v>
      </c>
    </row>
    <row r="548" spans="1:4" ht="20" customHeight="1" x14ac:dyDescent="0.35">
      <c r="A548" s="13" t="s">
        <v>599</v>
      </c>
      <c r="B548" s="13" t="s">
        <v>335</v>
      </c>
      <c r="C548" s="16">
        <v>6</v>
      </c>
      <c r="D548" s="16">
        <v>3</v>
      </c>
    </row>
    <row r="549" spans="1:4" ht="20" customHeight="1" x14ac:dyDescent="0.35">
      <c r="A549" s="13" t="s">
        <v>600</v>
      </c>
      <c r="B549" s="13" t="s">
        <v>335</v>
      </c>
      <c r="C549" s="16">
        <v>6</v>
      </c>
      <c r="D549" s="16">
        <v>3</v>
      </c>
    </row>
    <row r="550" spans="1:4" ht="20" customHeight="1" x14ac:dyDescent="0.35">
      <c r="A550" s="13" t="s">
        <v>601</v>
      </c>
      <c r="B550" s="13" t="s">
        <v>335</v>
      </c>
      <c r="C550" s="16">
        <v>6</v>
      </c>
      <c r="D550" s="16">
        <v>3</v>
      </c>
    </row>
    <row r="551" spans="1:4" ht="20" customHeight="1" x14ac:dyDescent="0.35">
      <c r="A551" s="13" t="s">
        <v>602</v>
      </c>
      <c r="B551" s="13" t="s">
        <v>335</v>
      </c>
      <c r="C551" s="16">
        <v>6</v>
      </c>
      <c r="D551" s="16">
        <v>3</v>
      </c>
    </row>
    <row r="552" spans="1:4" ht="20" customHeight="1" x14ac:dyDescent="0.35">
      <c r="A552" s="13" t="s">
        <v>603</v>
      </c>
      <c r="B552" s="13" t="s">
        <v>335</v>
      </c>
      <c r="C552" s="16">
        <v>6</v>
      </c>
      <c r="D552" s="16">
        <v>2</v>
      </c>
    </row>
    <row r="553" spans="1:4" ht="20" customHeight="1" x14ac:dyDescent="0.35">
      <c r="A553" s="13" t="s">
        <v>604</v>
      </c>
      <c r="B553" s="13" t="s">
        <v>335</v>
      </c>
      <c r="C553" s="16">
        <v>6</v>
      </c>
      <c r="D553" s="16">
        <v>2</v>
      </c>
    </row>
    <row r="554" spans="1:4" ht="20" customHeight="1" x14ac:dyDescent="0.35">
      <c r="A554" s="13" t="s">
        <v>605</v>
      </c>
      <c r="B554" s="13" t="s">
        <v>335</v>
      </c>
      <c r="C554" s="16">
        <v>6</v>
      </c>
      <c r="D554" s="16">
        <v>2</v>
      </c>
    </row>
    <row r="555" spans="1:4" ht="20" customHeight="1" x14ac:dyDescent="0.35">
      <c r="A555" s="13" t="s">
        <v>606</v>
      </c>
      <c r="B555" s="13" t="s">
        <v>335</v>
      </c>
      <c r="C555" s="16">
        <v>6</v>
      </c>
      <c r="D555" s="16">
        <v>2</v>
      </c>
    </row>
    <row r="556" spans="1:4" ht="20" customHeight="1" x14ac:dyDescent="0.35">
      <c r="A556" s="13" t="s">
        <v>607</v>
      </c>
      <c r="B556" s="13" t="s">
        <v>335</v>
      </c>
      <c r="C556" s="16">
        <v>6</v>
      </c>
      <c r="D556" s="16">
        <v>2</v>
      </c>
    </row>
    <row r="557" spans="1:4" ht="20" customHeight="1" x14ac:dyDescent="0.35">
      <c r="A557" s="13" t="s">
        <v>608</v>
      </c>
      <c r="B557" s="13" t="s">
        <v>335</v>
      </c>
      <c r="C557" s="16">
        <v>5.5</v>
      </c>
      <c r="D557" s="16">
        <v>5.5</v>
      </c>
    </row>
    <row r="558" spans="1:4" ht="20" customHeight="1" x14ac:dyDescent="0.35">
      <c r="A558" s="13" t="s">
        <v>609</v>
      </c>
      <c r="B558" s="13" t="s">
        <v>335</v>
      </c>
      <c r="C558" s="16">
        <v>5.5</v>
      </c>
      <c r="D558" s="16">
        <v>5.5</v>
      </c>
    </row>
    <row r="559" spans="1:4" ht="20" customHeight="1" x14ac:dyDescent="0.35">
      <c r="A559" s="13" t="s">
        <v>610</v>
      </c>
      <c r="B559" s="13" t="s">
        <v>335</v>
      </c>
      <c r="C559" s="16">
        <v>5.5</v>
      </c>
      <c r="D559" s="16">
        <v>5.5</v>
      </c>
    </row>
    <row r="560" spans="1:4" ht="20" customHeight="1" x14ac:dyDescent="0.35">
      <c r="A560" s="13" t="s">
        <v>611</v>
      </c>
      <c r="B560" s="13" t="s">
        <v>335</v>
      </c>
      <c r="C560" s="16">
        <v>5.5</v>
      </c>
      <c r="D560" s="16">
        <v>5.5</v>
      </c>
    </row>
    <row r="561" spans="1:4" ht="20" customHeight="1" x14ac:dyDescent="0.35">
      <c r="A561" s="13" t="s">
        <v>612</v>
      </c>
      <c r="B561" s="13" t="s">
        <v>335</v>
      </c>
      <c r="C561" s="16">
        <v>5.5</v>
      </c>
      <c r="D561" s="16">
        <v>5.5</v>
      </c>
    </row>
    <row r="562" spans="1:4" ht="20" customHeight="1" x14ac:dyDescent="0.35">
      <c r="A562" s="13" t="s">
        <v>613</v>
      </c>
      <c r="B562" s="13" t="s">
        <v>335</v>
      </c>
      <c r="C562" s="16">
        <v>5</v>
      </c>
      <c r="D562" s="16">
        <v>5</v>
      </c>
    </row>
    <row r="563" spans="1:4" ht="20" customHeight="1" x14ac:dyDescent="0.35">
      <c r="A563" s="13" t="s">
        <v>614</v>
      </c>
      <c r="B563" s="13" t="s">
        <v>335</v>
      </c>
      <c r="C563" s="16">
        <v>5</v>
      </c>
      <c r="D563" s="16">
        <v>5</v>
      </c>
    </row>
    <row r="564" spans="1:4" ht="20" customHeight="1" x14ac:dyDescent="0.35">
      <c r="A564" s="13" t="s">
        <v>615</v>
      </c>
      <c r="B564" s="13" t="s">
        <v>335</v>
      </c>
      <c r="C564" s="16">
        <v>5</v>
      </c>
      <c r="D564" s="16">
        <v>5</v>
      </c>
    </row>
    <row r="565" spans="1:4" ht="20" customHeight="1" x14ac:dyDescent="0.35">
      <c r="A565" s="13" t="s">
        <v>616</v>
      </c>
      <c r="B565" s="13" t="s">
        <v>335</v>
      </c>
      <c r="C565" s="16">
        <v>5</v>
      </c>
      <c r="D565" s="16">
        <v>5</v>
      </c>
    </row>
    <row r="566" spans="1:4" ht="20" customHeight="1" x14ac:dyDescent="0.35">
      <c r="A566" s="13" t="s">
        <v>617</v>
      </c>
      <c r="B566" s="13" t="s">
        <v>335</v>
      </c>
      <c r="C566" s="16">
        <v>5</v>
      </c>
      <c r="D566" s="16">
        <v>5</v>
      </c>
    </row>
    <row r="567" spans="1:4" ht="20" customHeight="1" x14ac:dyDescent="0.35">
      <c r="A567" s="13" t="s">
        <v>618</v>
      </c>
      <c r="B567" s="13" t="s">
        <v>335</v>
      </c>
      <c r="C567" s="16">
        <v>5</v>
      </c>
      <c r="D567" s="16">
        <v>5</v>
      </c>
    </row>
    <row r="568" spans="1:4" ht="20" customHeight="1" x14ac:dyDescent="0.35">
      <c r="A568" s="13" t="s">
        <v>619</v>
      </c>
      <c r="B568" s="13" t="s">
        <v>335</v>
      </c>
      <c r="C568" s="16">
        <v>5</v>
      </c>
      <c r="D568" s="16">
        <v>4</v>
      </c>
    </row>
    <row r="569" spans="1:4" ht="20" customHeight="1" x14ac:dyDescent="0.35">
      <c r="A569" s="13" t="s">
        <v>620</v>
      </c>
      <c r="B569" s="13" t="s">
        <v>335</v>
      </c>
      <c r="C569" s="16">
        <v>5</v>
      </c>
      <c r="D569" s="16">
        <v>4</v>
      </c>
    </row>
    <row r="570" spans="1:4" ht="20" customHeight="1" x14ac:dyDescent="0.35">
      <c r="A570" s="13" t="s">
        <v>621</v>
      </c>
      <c r="B570" s="13" t="s">
        <v>335</v>
      </c>
      <c r="C570" s="16">
        <v>5</v>
      </c>
      <c r="D570" s="16">
        <v>4</v>
      </c>
    </row>
    <row r="571" spans="1:4" ht="20" customHeight="1" x14ac:dyDescent="0.35">
      <c r="A571" s="13" t="s">
        <v>622</v>
      </c>
      <c r="B571" s="13" t="s">
        <v>335</v>
      </c>
      <c r="C571" s="16">
        <v>5</v>
      </c>
      <c r="D571" s="16">
        <v>4</v>
      </c>
    </row>
    <row r="572" spans="1:4" ht="20" customHeight="1" x14ac:dyDescent="0.35">
      <c r="A572" s="13" t="s">
        <v>623</v>
      </c>
      <c r="B572" s="13" t="s">
        <v>335</v>
      </c>
      <c r="C572" s="16">
        <v>5</v>
      </c>
      <c r="D572" s="16">
        <v>4</v>
      </c>
    </row>
    <row r="573" spans="1:4" ht="20" customHeight="1" x14ac:dyDescent="0.35">
      <c r="A573" s="13" t="s">
        <v>624</v>
      </c>
      <c r="B573" s="13" t="s">
        <v>335</v>
      </c>
      <c r="C573" s="16">
        <v>5</v>
      </c>
      <c r="D573" s="16">
        <v>4</v>
      </c>
    </row>
    <row r="574" spans="1:4" ht="20" customHeight="1" x14ac:dyDescent="0.35">
      <c r="A574" s="13" t="s">
        <v>625</v>
      </c>
      <c r="B574" s="13" t="s">
        <v>335</v>
      </c>
      <c r="C574" s="16">
        <v>5</v>
      </c>
      <c r="D574" s="16">
        <v>3</v>
      </c>
    </row>
    <row r="575" spans="1:4" ht="20" customHeight="1" x14ac:dyDescent="0.35">
      <c r="A575" s="13" t="s">
        <v>626</v>
      </c>
      <c r="B575" s="13" t="s">
        <v>335</v>
      </c>
      <c r="C575" s="16">
        <v>5</v>
      </c>
      <c r="D575" s="16">
        <v>3</v>
      </c>
    </row>
    <row r="576" spans="1:4" ht="20" customHeight="1" x14ac:dyDescent="0.35">
      <c r="A576" s="13" t="s">
        <v>627</v>
      </c>
      <c r="B576" s="13" t="s">
        <v>335</v>
      </c>
      <c r="C576" s="16">
        <v>5</v>
      </c>
      <c r="D576" s="16">
        <v>3</v>
      </c>
    </row>
    <row r="577" spans="1:4" ht="20" customHeight="1" x14ac:dyDescent="0.35">
      <c r="A577" s="13" t="s">
        <v>628</v>
      </c>
      <c r="B577" s="13" t="s">
        <v>335</v>
      </c>
      <c r="C577" s="16">
        <v>5</v>
      </c>
      <c r="D577" s="16">
        <v>3</v>
      </c>
    </row>
    <row r="578" spans="1:4" ht="20" customHeight="1" x14ac:dyDescent="0.35">
      <c r="A578" s="13" t="s">
        <v>629</v>
      </c>
      <c r="B578" s="13" t="s">
        <v>335</v>
      </c>
      <c r="C578" s="16">
        <v>5</v>
      </c>
      <c r="D578" s="16">
        <v>3</v>
      </c>
    </row>
    <row r="579" spans="1:4" ht="20" customHeight="1" x14ac:dyDescent="0.35">
      <c r="A579" s="13" t="s">
        <v>630</v>
      </c>
      <c r="B579" s="13" t="s">
        <v>335</v>
      </c>
      <c r="C579" s="16">
        <v>5</v>
      </c>
      <c r="D579" s="16">
        <v>3</v>
      </c>
    </row>
    <row r="580" spans="1:4" ht="20" customHeight="1" x14ac:dyDescent="0.35">
      <c r="A580" s="13" t="s">
        <v>631</v>
      </c>
      <c r="B580" s="13" t="s">
        <v>335</v>
      </c>
      <c r="C580" s="16">
        <v>5</v>
      </c>
      <c r="D580" s="16">
        <v>2.5</v>
      </c>
    </row>
    <row r="581" spans="1:4" ht="20" customHeight="1" x14ac:dyDescent="0.35">
      <c r="A581" s="13" t="s">
        <v>632</v>
      </c>
      <c r="B581" s="13" t="s">
        <v>335</v>
      </c>
      <c r="C581" s="16">
        <v>5</v>
      </c>
      <c r="D581" s="16">
        <v>2.5</v>
      </c>
    </row>
    <row r="582" spans="1:4" ht="20" customHeight="1" x14ac:dyDescent="0.35">
      <c r="A582" s="13" t="s">
        <v>633</v>
      </c>
      <c r="B582" s="13" t="s">
        <v>335</v>
      </c>
      <c r="C582" s="16">
        <v>5</v>
      </c>
      <c r="D582" s="16">
        <v>2.5</v>
      </c>
    </row>
    <row r="583" spans="1:4" ht="20" customHeight="1" x14ac:dyDescent="0.35">
      <c r="A583" s="13" t="s">
        <v>634</v>
      </c>
      <c r="B583" s="13" t="s">
        <v>335</v>
      </c>
      <c r="C583" s="16">
        <v>5</v>
      </c>
      <c r="D583" s="16">
        <v>2</v>
      </c>
    </row>
    <row r="584" spans="1:4" ht="20" customHeight="1" x14ac:dyDescent="0.35">
      <c r="A584" s="13" t="s">
        <v>635</v>
      </c>
      <c r="B584" s="13" t="s">
        <v>335</v>
      </c>
      <c r="C584" s="16">
        <v>5</v>
      </c>
      <c r="D584" s="16">
        <v>2</v>
      </c>
    </row>
    <row r="585" spans="1:4" ht="20" customHeight="1" x14ac:dyDescent="0.35">
      <c r="A585" s="13" t="s">
        <v>636</v>
      </c>
      <c r="B585" s="13" t="s">
        <v>335</v>
      </c>
      <c r="C585" s="16">
        <v>5</v>
      </c>
      <c r="D585" s="16">
        <v>2</v>
      </c>
    </row>
    <row r="586" spans="1:4" ht="20" customHeight="1" x14ac:dyDescent="0.35">
      <c r="A586" s="13" t="s">
        <v>637</v>
      </c>
      <c r="B586" s="13" t="s">
        <v>335</v>
      </c>
      <c r="C586" s="16">
        <v>5</v>
      </c>
      <c r="D586" s="16">
        <v>2</v>
      </c>
    </row>
    <row r="587" spans="1:4" ht="20" customHeight="1" x14ac:dyDescent="0.35">
      <c r="A587" s="13" t="s">
        <v>638</v>
      </c>
      <c r="B587" s="13" t="s">
        <v>335</v>
      </c>
      <c r="C587" s="16">
        <v>5</v>
      </c>
      <c r="D587" s="16">
        <v>2</v>
      </c>
    </row>
    <row r="588" spans="1:4" ht="20" customHeight="1" x14ac:dyDescent="0.35">
      <c r="A588" s="13" t="s">
        <v>639</v>
      </c>
      <c r="B588" s="13" t="s">
        <v>335</v>
      </c>
      <c r="C588" s="16">
        <v>4.5</v>
      </c>
      <c r="D588" s="16">
        <v>4.5</v>
      </c>
    </row>
    <row r="589" spans="1:4" ht="20" customHeight="1" x14ac:dyDescent="0.35">
      <c r="A589" s="13" t="s">
        <v>640</v>
      </c>
      <c r="B589" s="13" t="s">
        <v>335</v>
      </c>
      <c r="C589" s="16">
        <v>4.5</v>
      </c>
      <c r="D589" s="16">
        <v>4.5</v>
      </c>
    </row>
    <row r="590" spans="1:4" ht="20" customHeight="1" x14ac:dyDescent="0.35">
      <c r="A590" s="13" t="s">
        <v>641</v>
      </c>
      <c r="B590" s="13" t="s">
        <v>335</v>
      </c>
      <c r="C590" s="16">
        <v>4.5</v>
      </c>
      <c r="D590" s="16">
        <v>4.5</v>
      </c>
    </row>
    <row r="591" spans="1:4" ht="20" customHeight="1" x14ac:dyDescent="0.35">
      <c r="A591" s="13" t="s">
        <v>642</v>
      </c>
      <c r="B591" s="13" t="s">
        <v>335</v>
      </c>
      <c r="C591" s="16">
        <v>4.5</v>
      </c>
      <c r="D591" s="16">
        <v>4.5</v>
      </c>
    </row>
    <row r="592" spans="1:4" ht="20" customHeight="1" x14ac:dyDescent="0.35">
      <c r="A592" s="13" t="s">
        <v>643</v>
      </c>
      <c r="B592" s="13" t="s">
        <v>335</v>
      </c>
      <c r="C592" s="16">
        <v>4.5</v>
      </c>
      <c r="D592" s="16">
        <v>4.5</v>
      </c>
    </row>
    <row r="593" spans="1:4" ht="20" customHeight="1" x14ac:dyDescent="0.35">
      <c r="A593" s="13" t="s">
        <v>644</v>
      </c>
      <c r="B593" s="13" t="s">
        <v>335</v>
      </c>
      <c r="C593" s="16">
        <v>4.5</v>
      </c>
      <c r="D593" s="16">
        <v>4.5</v>
      </c>
    </row>
    <row r="594" spans="1:4" ht="20" customHeight="1" x14ac:dyDescent="0.35">
      <c r="A594" s="13" t="s">
        <v>645</v>
      </c>
      <c r="B594" s="13" t="s">
        <v>335</v>
      </c>
      <c r="C594" s="16">
        <v>4</v>
      </c>
      <c r="D594" s="16">
        <v>4</v>
      </c>
    </row>
    <row r="595" spans="1:4" ht="20" customHeight="1" x14ac:dyDescent="0.35">
      <c r="A595" s="13" t="s">
        <v>646</v>
      </c>
      <c r="B595" s="13" t="s">
        <v>335</v>
      </c>
      <c r="C595" s="16">
        <v>4</v>
      </c>
      <c r="D595" s="16">
        <v>4</v>
      </c>
    </row>
    <row r="596" spans="1:4" ht="20" customHeight="1" x14ac:dyDescent="0.35">
      <c r="A596" s="13" t="s">
        <v>647</v>
      </c>
      <c r="B596" s="13" t="s">
        <v>335</v>
      </c>
      <c r="C596" s="16">
        <v>4</v>
      </c>
      <c r="D596" s="16">
        <v>4</v>
      </c>
    </row>
    <row r="597" spans="1:4" ht="20" customHeight="1" x14ac:dyDescent="0.35">
      <c r="A597" s="13" t="s">
        <v>648</v>
      </c>
      <c r="B597" s="13" t="s">
        <v>335</v>
      </c>
      <c r="C597" s="16">
        <v>4</v>
      </c>
      <c r="D597" s="16">
        <v>4</v>
      </c>
    </row>
    <row r="598" spans="1:4" ht="20" customHeight="1" x14ac:dyDescent="0.35">
      <c r="A598" s="13" t="s">
        <v>649</v>
      </c>
      <c r="B598" s="13" t="s">
        <v>335</v>
      </c>
      <c r="C598" s="16">
        <v>4</v>
      </c>
      <c r="D598" s="16">
        <v>4</v>
      </c>
    </row>
    <row r="599" spans="1:4" ht="20" customHeight="1" x14ac:dyDescent="0.35">
      <c r="A599" s="13" t="s">
        <v>650</v>
      </c>
      <c r="B599" s="13" t="s">
        <v>335</v>
      </c>
      <c r="C599" s="16">
        <v>4</v>
      </c>
      <c r="D599" s="16">
        <v>4</v>
      </c>
    </row>
    <row r="600" spans="1:4" ht="20" customHeight="1" x14ac:dyDescent="0.35">
      <c r="A600" s="13" t="s">
        <v>651</v>
      </c>
      <c r="B600" s="13" t="s">
        <v>335</v>
      </c>
      <c r="C600" s="16">
        <v>4</v>
      </c>
      <c r="D600" s="16">
        <v>3</v>
      </c>
    </row>
    <row r="601" spans="1:4" ht="20" customHeight="1" x14ac:dyDescent="0.35">
      <c r="A601" s="13" t="s">
        <v>652</v>
      </c>
      <c r="B601" s="13" t="s">
        <v>335</v>
      </c>
      <c r="C601" s="16">
        <v>4</v>
      </c>
      <c r="D601" s="16">
        <v>3</v>
      </c>
    </row>
    <row r="602" spans="1:4" ht="20" customHeight="1" x14ac:dyDescent="0.35">
      <c r="A602" s="13" t="s">
        <v>653</v>
      </c>
      <c r="B602" s="13" t="s">
        <v>335</v>
      </c>
      <c r="C602" s="16">
        <v>4</v>
      </c>
      <c r="D602" s="16">
        <v>3</v>
      </c>
    </row>
    <row r="603" spans="1:4" ht="20" customHeight="1" x14ac:dyDescent="0.35">
      <c r="A603" s="13" t="s">
        <v>654</v>
      </c>
      <c r="B603" s="13" t="s">
        <v>335</v>
      </c>
      <c r="C603" s="16">
        <v>4</v>
      </c>
      <c r="D603" s="16">
        <v>3</v>
      </c>
    </row>
    <row r="604" spans="1:4" ht="20" customHeight="1" x14ac:dyDescent="0.35">
      <c r="A604" s="13" t="s">
        <v>655</v>
      </c>
      <c r="B604" s="13" t="s">
        <v>335</v>
      </c>
      <c r="C604" s="16">
        <v>4</v>
      </c>
      <c r="D604" s="16">
        <v>3</v>
      </c>
    </row>
    <row r="605" spans="1:4" ht="20" customHeight="1" x14ac:dyDescent="0.35">
      <c r="A605" s="13" t="s">
        <v>656</v>
      </c>
      <c r="B605" s="13" t="s">
        <v>335</v>
      </c>
      <c r="C605" s="16">
        <v>4</v>
      </c>
      <c r="D605" s="16">
        <v>2.5</v>
      </c>
    </row>
    <row r="606" spans="1:4" ht="20" customHeight="1" x14ac:dyDescent="0.35">
      <c r="A606" s="13" t="s">
        <v>657</v>
      </c>
      <c r="B606" s="13" t="s">
        <v>335</v>
      </c>
      <c r="C606" s="16">
        <v>4</v>
      </c>
      <c r="D606" s="16">
        <v>2.5</v>
      </c>
    </row>
    <row r="607" spans="1:4" ht="20" customHeight="1" x14ac:dyDescent="0.35">
      <c r="A607" s="13" t="s">
        <v>658</v>
      </c>
      <c r="B607" s="13" t="s">
        <v>335</v>
      </c>
      <c r="C607" s="16">
        <v>4</v>
      </c>
      <c r="D607" s="16">
        <v>2.5</v>
      </c>
    </row>
    <row r="608" spans="1:4" ht="20" customHeight="1" x14ac:dyDescent="0.35">
      <c r="A608" s="13" t="s">
        <v>659</v>
      </c>
      <c r="B608" s="13" t="s">
        <v>335</v>
      </c>
      <c r="C608" s="16">
        <v>4</v>
      </c>
      <c r="D608" s="16">
        <v>2.5</v>
      </c>
    </row>
    <row r="609" spans="1:4" ht="20" customHeight="1" x14ac:dyDescent="0.35">
      <c r="A609" s="13" t="s">
        <v>660</v>
      </c>
      <c r="B609" s="13" t="s">
        <v>335</v>
      </c>
      <c r="C609" s="16">
        <v>4</v>
      </c>
      <c r="D609" s="16">
        <v>2.5</v>
      </c>
    </row>
    <row r="610" spans="1:4" ht="20" customHeight="1" x14ac:dyDescent="0.35">
      <c r="A610" s="13" t="s">
        <v>661</v>
      </c>
      <c r="B610" s="13" t="s">
        <v>335</v>
      </c>
      <c r="C610" s="16">
        <v>4</v>
      </c>
      <c r="D610" s="16">
        <v>2</v>
      </c>
    </row>
    <row r="611" spans="1:4" ht="20" customHeight="1" x14ac:dyDescent="0.35">
      <c r="A611" s="13" t="s">
        <v>662</v>
      </c>
      <c r="B611" s="13" t="s">
        <v>335</v>
      </c>
      <c r="C611" s="16">
        <v>4</v>
      </c>
      <c r="D611" s="16">
        <v>2</v>
      </c>
    </row>
    <row r="612" spans="1:4" ht="20" customHeight="1" x14ac:dyDescent="0.35">
      <c r="A612" s="13" t="s">
        <v>663</v>
      </c>
      <c r="B612" s="13" t="s">
        <v>335</v>
      </c>
      <c r="C612" s="16">
        <v>4</v>
      </c>
      <c r="D612" s="16">
        <v>2</v>
      </c>
    </row>
    <row r="613" spans="1:4" ht="20" customHeight="1" x14ac:dyDescent="0.35">
      <c r="A613" s="13" t="s">
        <v>664</v>
      </c>
      <c r="B613" s="13" t="s">
        <v>335</v>
      </c>
      <c r="C613" s="16">
        <v>4</v>
      </c>
      <c r="D613" s="16">
        <v>2</v>
      </c>
    </row>
    <row r="614" spans="1:4" ht="20" customHeight="1" x14ac:dyDescent="0.35">
      <c r="A614" s="13" t="s">
        <v>665</v>
      </c>
      <c r="B614" s="13" t="s">
        <v>335</v>
      </c>
      <c r="C614" s="16">
        <v>4</v>
      </c>
      <c r="D614" s="16">
        <v>2</v>
      </c>
    </row>
    <row r="615" spans="1:4" ht="20" customHeight="1" x14ac:dyDescent="0.35">
      <c r="A615" s="13" t="s">
        <v>666</v>
      </c>
      <c r="B615" s="13" t="s">
        <v>335</v>
      </c>
      <c r="C615" s="16">
        <v>3.5</v>
      </c>
      <c r="D615" s="16">
        <v>3.5</v>
      </c>
    </row>
    <row r="616" spans="1:4" ht="20" customHeight="1" x14ac:dyDescent="0.35">
      <c r="A616" s="13" t="s">
        <v>667</v>
      </c>
      <c r="B616" s="13" t="s">
        <v>335</v>
      </c>
      <c r="C616" s="16">
        <v>3.5</v>
      </c>
      <c r="D616" s="16">
        <v>3.5</v>
      </c>
    </row>
    <row r="617" spans="1:4" ht="20" customHeight="1" x14ac:dyDescent="0.35">
      <c r="A617" s="13" t="s">
        <v>668</v>
      </c>
      <c r="B617" s="13" t="s">
        <v>335</v>
      </c>
      <c r="C617" s="16">
        <v>3.5</v>
      </c>
      <c r="D617" s="16">
        <v>3.5</v>
      </c>
    </row>
    <row r="618" spans="1:4" ht="20" customHeight="1" x14ac:dyDescent="0.35">
      <c r="A618" s="13" t="s">
        <v>669</v>
      </c>
      <c r="B618" s="13" t="s">
        <v>335</v>
      </c>
      <c r="C618" s="16">
        <v>3.5</v>
      </c>
      <c r="D618" s="16">
        <v>3.5</v>
      </c>
    </row>
    <row r="619" spans="1:4" ht="20" customHeight="1" x14ac:dyDescent="0.35">
      <c r="A619" s="13" t="s">
        <v>670</v>
      </c>
      <c r="B619" s="13" t="s">
        <v>335</v>
      </c>
      <c r="C619" s="16">
        <v>3.5</v>
      </c>
      <c r="D619" s="16">
        <v>3.5</v>
      </c>
    </row>
    <row r="620" spans="1:4" ht="20" customHeight="1" x14ac:dyDescent="0.35">
      <c r="A620" s="13" t="s">
        <v>671</v>
      </c>
      <c r="B620" s="13" t="s">
        <v>335</v>
      </c>
      <c r="C620" s="16">
        <v>3.5</v>
      </c>
      <c r="D620" s="16">
        <v>2.5</v>
      </c>
    </row>
    <row r="621" spans="1:4" ht="20" customHeight="1" x14ac:dyDescent="0.35">
      <c r="A621" s="13" t="s">
        <v>672</v>
      </c>
      <c r="B621" s="13" t="s">
        <v>335</v>
      </c>
      <c r="C621" s="16">
        <v>3.5</v>
      </c>
      <c r="D621" s="16">
        <v>2.5</v>
      </c>
    </row>
    <row r="622" spans="1:4" ht="20" customHeight="1" x14ac:dyDescent="0.35">
      <c r="A622" s="13" t="s">
        <v>673</v>
      </c>
      <c r="B622" s="13" t="s">
        <v>335</v>
      </c>
      <c r="C622" s="16">
        <v>3.5</v>
      </c>
      <c r="D622" s="16">
        <v>2.5</v>
      </c>
    </row>
    <row r="623" spans="1:4" ht="20" customHeight="1" x14ac:dyDescent="0.35">
      <c r="A623" s="13" t="s">
        <v>674</v>
      </c>
      <c r="B623" s="13" t="s">
        <v>335</v>
      </c>
      <c r="C623" s="16">
        <v>3.5</v>
      </c>
      <c r="D623" s="16">
        <v>2.5</v>
      </c>
    </row>
    <row r="624" spans="1:4" ht="20" customHeight="1" x14ac:dyDescent="0.35">
      <c r="A624" s="13" t="s">
        <v>675</v>
      </c>
      <c r="B624" s="13" t="s">
        <v>335</v>
      </c>
      <c r="C624" s="16">
        <v>3.5</v>
      </c>
      <c r="D624" s="16">
        <v>2.5</v>
      </c>
    </row>
    <row r="625" spans="1:4" ht="20" customHeight="1" x14ac:dyDescent="0.35">
      <c r="A625" s="13" t="s">
        <v>676</v>
      </c>
      <c r="B625" s="13" t="s">
        <v>335</v>
      </c>
      <c r="C625" s="16">
        <v>3.5</v>
      </c>
      <c r="D625" s="16">
        <v>2</v>
      </c>
    </row>
    <row r="626" spans="1:4" ht="20" customHeight="1" x14ac:dyDescent="0.35">
      <c r="A626" s="13" t="s">
        <v>677</v>
      </c>
      <c r="B626" s="13" t="s">
        <v>335</v>
      </c>
      <c r="C626" s="16">
        <v>3.5</v>
      </c>
      <c r="D626" s="16">
        <v>2</v>
      </c>
    </row>
    <row r="627" spans="1:4" ht="20" customHeight="1" x14ac:dyDescent="0.35">
      <c r="A627" s="13" t="s">
        <v>678</v>
      </c>
      <c r="B627" s="13" t="s">
        <v>335</v>
      </c>
      <c r="C627" s="16">
        <v>3.5</v>
      </c>
      <c r="D627" s="16">
        <v>2</v>
      </c>
    </row>
    <row r="628" spans="1:4" ht="20" customHeight="1" x14ac:dyDescent="0.35">
      <c r="A628" s="13" t="s">
        <v>679</v>
      </c>
      <c r="B628" s="13" t="s">
        <v>335</v>
      </c>
      <c r="C628" s="16">
        <v>3.5</v>
      </c>
      <c r="D628" s="16">
        <v>1.5</v>
      </c>
    </row>
    <row r="629" spans="1:4" ht="20" customHeight="1" x14ac:dyDescent="0.35">
      <c r="A629" s="13" t="s">
        <v>680</v>
      </c>
      <c r="B629" s="13" t="s">
        <v>335</v>
      </c>
      <c r="C629" s="16">
        <v>3.5</v>
      </c>
      <c r="D629" s="16">
        <v>1.5</v>
      </c>
    </row>
    <row r="630" spans="1:4" ht="20" customHeight="1" x14ac:dyDescent="0.35">
      <c r="A630" s="13" t="s">
        <v>681</v>
      </c>
      <c r="B630" s="13" t="s">
        <v>335</v>
      </c>
      <c r="C630" s="16">
        <v>3.5</v>
      </c>
      <c r="D630" s="16">
        <v>1.5</v>
      </c>
    </row>
    <row r="631" spans="1:4" ht="20" customHeight="1" x14ac:dyDescent="0.35">
      <c r="A631" s="13" t="s">
        <v>682</v>
      </c>
      <c r="B631" s="13" t="s">
        <v>335</v>
      </c>
      <c r="C631" s="16">
        <v>3</v>
      </c>
      <c r="D631" s="16">
        <v>3</v>
      </c>
    </row>
    <row r="632" spans="1:4" ht="20" customHeight="1" x14ac:dyDescent="0.35">
      <c r="A632" s="13" t="s">
        <v>683</v>
      </c>
      <c r="B632" s="13" t="s">
        <v>335</v>
      </c>
      <c r="C632" s="16">
        <v>3</v>
      </c>
      <c r="D632" s="16">
        <v>3</v>
      </c>
    </row>
    <row r="633" spans="1:4" ht="20" customHeight="1" x14ac:dyDescent="0.35">
      <c r="A633" s="13" t="s">
        <v>684</v>
      </c>
      <c r="B633" s="13" t="s">
        <v>335</v>
      </c>
      <c r="C633" s="16">
        <v>3</v>
      </c>
      <c r="D633" s="16">
        <v>3</v>
      </c>
    </row>
    <row r="634" spans="1:4" ht="20" customHeight="1" x14ac:dyDescent="0.35">
      <c r="A634" s="13" t="s">
        <v>685</v>
      </c>
      <c r="B634" s="13" t="s">
        <v>335</v>
      </c>
      <c r="C634" s="16">
        <v>3</v>
      </c>
      <c r="D634" s="16">
        <v>3</v>
      </c>
    </row>
    <row r="635" spans="1:4" ht="20" customHeight="1" x14ac:dyDescent="0.35">
      <c r="A635" s="13" t="s">
        <v>686</v>
      </c>
      <c r="B635" s="13" t="s">
        <v>335</v>
      </c>
      <c r="C635" s="16">
        <v>3</v>
      </c>
      <c r="D635" s="16">
        <v>3</v>
      </c>
    </row>
    <row r="636" spans="1:4" ht="20" customHeight="1" x14ac:dyDescent="0.35">
      <c r="A636" s="13" t="s">
        <v>687</v>
      </c>
      <c r="B636" s="13" t="s">
        <v>335</v>
      </c>
      <c r="C636" s="16">
        <v>3</v>
      </c>
      <c r="D636" s="16">
        <v>2.5</v>
      </c>
    </row>
    <row r="637" spans="1:4" ht="20" customHeight="1" x14ac:dyDescent="0.35">
      <c r="A637" s="13" t="s">
        <v>688</v>
      </c>
      <c r="B637" s="13" t="s">
        <v>335</v>
      </c>
      <c r="C637" s="16">
        <v>3</v>
      </c>
      <c r="D637" s="16">
        <v>2.5</v>
      </c>
    </row>
    <row r="638" spans="1:4" ht="20" customHeight="1" x14ac:dyDescent="0.35">
      <c r="A638" s="13" t="s">
        <v>689</v>
      </c>
      <c r="B638" s="13" t="s">
        <v>335</v>
      </c>
      <c r="C638" s="16">
        <v>3</v>
      </c>
      <c r="D638" s="16">
        <v>2.5</v>
      </c>
    </row>
    <row r="639" spans="1:4" ht="20" customHeight="1" x14ac:dyDescent="0.35">
      <c r="A639" s="13" t="s">
        <v>690</v>
      </c>
      <c r="B639" s="13" t="s">
        <v>335</v>
      </c>
      <c r="C639" s="16">
        <v>3</v>
      </c>
      <c r="D639" s="16">
        <v>2.5</v>
      </c>
    </row>
    <row r="640" spans="1:4" ht="20" customHeight="1" x14ac:dyDescent="0.35">
      <c r="A640" s="13" t="s">
        <v>691</v>
      </c>
      <c r="B640" s="13" t="s">
        <v>335</v>
      </c>
      <c r="C640" s="16">
        <v>3</v>
      </c>
      <c r="D640" s="16">
        <v>2</v>
      </c>
    </row>
    <row r="641" spans="1:4" ht="20" customHeight="1" x14ac:dyDescent="0.35">
      <c r="A641" s="13" t="s">
        <v>692</v>
      </c>
      <c r="B641" s="13" t="s">
        <v>335</v>
      </c>
      <c r="C641" s="16">
        <v>3</v>
      </c>
      <c r="D641" s="16">
        <v>2</v>
      </c>
    </row>
    <row r="642" spans="1:4" ht="20" customHeight="1" x14ac:dyDescent="0.35">
      <c r="A642" s="13" t="s">
        <v>693</v>
      </c>
      <c r="B642" s="13" t="s">
        <v>335</v>
      </c>
      <c r="C642" s="16">
        <v>3</v>
      </c>
      <c r="D642" s="16">
        <v>2</v>
      </c>
    </row>
    <row r="643" spans="1:4" ht="20" customHeight="1" x14ac:dyDescent="0.35">
      <c r="A643" s="13" t="s">
        <v>694</v>
      </c>
      <c r="B643" s="13" t="s">
        <v>335</v>
      </c>
      <c r="C643" s="16">
        <v>3</v>
      </c>
      <c r="D643" s="16">
        <v>2</v>
      </c>
    </row>
    <row r="644" spans="1:4" ht="20" customHeight="1" x14ac:dyDescent="0.35">
      <c r="A644" s="13" t="s">
        <v>695</v>
      </c>
      <c r="B644" s="13" t="s">
        <v>335</v>
      </c>
      <c r="C644" s="16">
        <v>3</v>
      </c>
      <c r="D644" s="16">
        <v>1.5</v>
      </c>
    </row>
    <row r="645" spans="1:4" ht="20" customHeight="1" x14ac:dyDescent="0.35">
      <c r="A645" s="13" t="s">
        <v>696</v>
      </c>
      <c r="B645" s="13" t="s">
        <v>335</v>
      </c>
      <c r="C645" s="16">
        <v>3</v>
      </c>
      <c r="D645" s="16">
        <v>1.5</v>
      </c>
    </row>
    <row r="646" spans="1:4" ht="20" customHeight="1" x14ac:dyDescent="0.35">
      <c r="A646" s="13" t="s">
        <v>697</v>
      </c>
      <c r="B646" s="13" t="s">
        <v>335</v>
      </c>
      <c r="C646" s="16">
        <v>3</v>
      </c>
      <c r="D646" s="16">
        <v>1.5</v>
      </c>
    </row>
    <row r="647" spans="1:4" ht="20" customHeight="1" x14ac:dyDescent="0.35">
      <c r="A647" s="13" t="s">
        <v>698</v>
      </c>
      <c r="B647" s="13" t="s">
        <v>335</v>
      </c>
      <c r="C647" s="16">
        <v>3</v>
      </c>
      <c r="D647" s="16">
        <v>1</v>
      </c>
    </row>
    <row r="648" spans="1:4" ht="20" customHeight="1" x14ac:dyDescent="0.35">
      <c r="A648" s="13" t="s">
        <v>699</v>
      </c>
      <c r="B648" s="13" t="s">
        <v>335</v>
      </c>
      <c r="C648" s="16">
        <v>3</v>
      </c>
      <c r="D648" s="16">
        <v>1</v>
      </c>
    </row>
    <row r="649" spans="1:4" ht="20" customHeight="1" x14ac:dyDescent="0.35">
      <c r="A649" s="13" t="s">
        <v>700</v>
      </c>
      <c r="B649" s="13" t="s">
        <v>335</v>
      </c>
      <c r="C649" s="16">
        <v>2.5</v>
      </c>
      <c r="D649" s="16">
        <v>2.5</v>
      </c>
    </row>
    <row r="650" spans="1:4" ht="20" customHeight="1" x14ac:dyDescent="0.35">
      <c r="A650" s="13" t="s">
        <v>701</v>
      </c>
      <c r="B650" s="13" t="s">
        <v>335</v>
      </c>
      <c r="C650" s="16">
        <v>2.5</v>
      </c>
      <c r="D650" s="16">
        <v>2.5</v>
      </c>
    </row>
    <row r="651" spans="1:4" ht="20" customHeight="1" x14ac:dyDescent="0.35">
      <c r="A651" s="13" t="s">
        <v>702</v>
      </c>
      <c r="B651" s="13" t="s">
        <v>335</v>
      </c>
      <c r="C651" s="16">
        <v>2.5</v>
      </c>
      <c r="D651" s="16">
        <v>2.5</v>
      </c>
    </row>
    <row r="652" spans="1:4" ht="20" customHeight="1" x14ac:dyDescent="0.35">
      <c r="A652" s="13" t="s">
        <v>703</v>
      </c>
      <c r="B652" s="13" t="s">
        <v>335</v>
      </c>
      <c r="C652" s="16">
        <v>2.5</v>
      </c>
      <c r="D652" s="16">
        <v>2.5</v>
      </c>
    </row>
    <row r="653" spans="1:4" ht="20" customHeight="1" x14ac:dyDescent="0.35">
      <c r="A653" s="13" t="s">
        <v>704</v>
      </c>
      <c r="B653" s="13" t="s">
        <v>335</v>
      </c>
      <c r="C653" s="16">
        <v>2.5</v>
      </c>
      <c r="D653" s="16">
        <v>2</v>
      </c>
    </row>
    <row r="654" spans="1:4" ht="20" customHeight="1" x14ac:dyDescent="0.35">
      <c r="A654" s="13" t="s">
        <v>705</v>
      </c>
      <c r="B654" s="13" t="s">
        <v>335</v>
      </c>
      <c r="C654" s="16">
        <v>2.5</v>
      </c>
      <c r="D654" s="16">
        <v>2</v>
      </c>
    </row>
    <row r="655" spans="1:4" ht="20" customHeight="1" x14ac:dyDescent="0.35">
      <c r="A655" s="13" t="s">
        <v>706</v>
      </c>
      <c r="B655" s="13" t="s">
        <v>335</v>
      </c>
      <c r="C655" s="16">
        <v>2.5</v>
      </c>
      <c r="D655" s="16">
        <v>2</v>
      </c>
    </row>
    <row r="656" spans="1:4" ht="20" customHeight="1" x14ac:dyDescent="0.35">
      <c r="A656" s="13" t="s">
        <v>707</v>
      </c>
      <c r="B656" s="13" t="s">
        <v>335</v>
      </c>
      <c r="C656" s="16">
        <v>2.5</v>
      </c>
      <c r="D656" s="16">
        <v>1.5</v>
      </c>
    </row>
    <row r="657" spans="1:4" ht="20" customHeight="1" x14ac:dyDescent="0.35">
      <c r="A657" s="13" t="s">
        <v>708</v>
      </c>
      <c r="B657" s="13" t="s">
        <v>335</v>
      </c>
      <c r="C657" s="16">
        <v>2.5</v>
      </c>
      <c r="D657" s="16">
        <v>1.5</v>
      </c>
    </row>
    <row r="658" spans="1:4" ht="20" customHeight="1" x14ac:dyDescent="0.35">
      <c r="A658" s="13" t="s">
        <v>709</v>
      </c>
      <c r="B658" s="13" t="s">
        <v>335</v>
      </c>
      <c r="C658" s="16">
        <v>2.5</v>
      </c>
      <c r="D658" s="16">
        <v>1.5</v>
      </c>
    </row>
    <row r="659" spans="1:4" ht="20" customHeight="1" x14ac:dyDescent="0.35">
      <c r="A659" s="13" t="s">
        <v>710</v>
      </c>
      <c r="B659" s="13" t="s">
        <v>335</v>
      </c>
      <c r="C659" s="16">
        <v>2.5</v>
      </c>
      <c r="D659" s="16">
        <v>1</v>
      </c>
    </row>
    <row r="660" spans="1:4" ht="20" customHeight="1" x14ac:dyDescent="0.35">
      <c r="A660" s="13" t="s">
        <v>711</v>
      </c>
      <c r="B660" s="13" t="s">
        <v>335</v>
      </c>
      <c r="C660" s="16">
        <v>2.5</v>
      </c>
      <c r="D660" s="16">
        <v>1</v>
      </c>
    </row>
    <row r="661" spans="1:4" ht="20" customHeight="1" x14ac:dyDescent="0.35">
      <c r="A661" s="13" t="s">
        <v>712</v>
      </c>
      <c r="B661" s="13" t="s">
        <v>335</v>
      </c>
      <c r="C661" s="16">
        <v>2.25</v>
      </c>
      <c r="D661" s="16">
        <v>2.25</v>
      </c>
    </row>
    <row r="662" spans="1:4" ht="20" customHeight="1" x14ac:dyDescent="0.35">
      <c r="A662" s="13" t="s">
        <v>713</v>
      </c>
      <c r="B662" s="13" t="s">
        <v>335</v>
      </c>
      <c r="C662" s="16">
        <v>2.25</v>
      </c>
      <c r="D662" s="16">
        <v>2.25</v>
      </c>
    </row>
    <row r="663" spans="1:4" ht="20" customHeight="1" x14ac:dyDescent="0.35">
      <c r="A663" s="13" t="s">
        <v>714</v>
      </c>
      <c r="B663" s="13" t="s">
        <v>335</v>
      </c>
      <c r="C663" s="16">
        <v>2.25</v>
      </c>
      <c r="D663" s="16">
        <v>2.25</v>
      </c>
    </row>
    <row r="664" spans="1:4" ht="20" customHeight="1" x14ac:dyDescent="0.35">
      <c r="A664" s="13" t="s">
        <v>715</v>
      </c>
      <c r="B664" s="13" t="s">
        <v>335</v>
      </c>
      <c r="C664" s="16">
        <v>2.25</v>
      </c>
      <c r="D664" s="16">
        <v>2</v>
      </c>
    </row>
    <row r="665" spans="1:4" ht="20" customHeight="1" x14ac:dyDescent="0.35">
      <c r="A665" s="13" t="s">
        <v>716</v>
      </c>
      <c r="B665" s="13" t="s">
        <v>335</v>
      </c>
      <c r="C665" s="16">
        <v>2.25</v>
      </c>
      <c r="D665" s="16">
        <v>2</v>
      </c>
    </row>
    <row r="666" spans="1:4" ht="20" customHeight="1" x14ac:dyDescent="0.35">
      <c r="A666" s="13" t="s">
        <v>717</v>
      </c>
      <c r="B666" s="13" t="s">
        <v>335</v>
      </c>
      <c r="C666" s="16">
        <v>2</v>
      </c>
      <c r="D666" s="16">
        <v>2</v>
      </c>
    </row>
    <row r="667" spans="1:4" ht="20" customHeight="1" x14ac:dyDescent="0.35">
      <c r="A667" s="13" t="s">
        <v>718</v>
      </c>
      <c r="B667" s="13" t="s">
        <v>335</v>
      </c>
      <c r="C667" s="16">
        <v>2</v>
      </c>
      <c r="D667" s="16">
        <v>2</v>
      </c>
    </row>
    <row r="668" spans="1:4" ht="20" customHeight="1" x14ac:dyDescent="0.35">
      <c r="A668" s="13" t="s">
        <v>21</v>
      </c>
      <c r="B668" s="13" t="s">
        <v>335</v>
      </c>
      <c r="C668" s="16">
        <v>2</v>
      </c>
      <c r="D668" s="16">
        <v>2</v>
      </c>
    </row>
    <row r="669" spans="1:4" ht="20" customHeight="1" x14ac:dyDescent="0.35">
      <c r="A669" s="13" t="s">
        <v>719</v>
      </c>
      <c r="B669" s="13" t="s">
        <v>335</v>
      </c>
      <c r="C669" s="16">
        <v>2</v>
      </c>
      <c r="D669" s="16">
        <v>1.5</v>
      </c>
    </row>
    <row r="670" spans="1:4" ht="20" customHeight="1" x14ac:dyDescent="0.35">
      <c r="A670" s="13" t="s">
        <v>720</v>
      </c>
      <c r="B670" s="13" t="s">
        <v>335</v>
      </c>
      <c r="C670" s="16">
        <v>2</v>
      </c>
      <c r="D670" s="16">
        <v>1.5</v>
      </c>
    </row>
    <row r="671" spans="1:4" ht="20" customHeight="1" x14ac:dyDescent="0.35">
      <c r="A671" s="13" t="s">
        <v>721</v>
      </c>
      <c r="B671" s="13" t="s">
        <v>335</v>
      </c>
      <c r="C671" s="16">
        <v>2</v>
      </c>
      <c r="D671" s="16">
        <v>1</v>
      </c>
    </row>
    <row r="672" spans="1:4" ht="20" customHeight="1" x14ac:dyDescent="0.35">
      <c r="A672" s="13" t="s">
        <v>722</v>
      </c>
      <c r="B672" s="13" t="s">
        <v>335</v>
      </c>
      <c r="C672" s="16">
        <v>2</v>
      </c>
      <c r="D672" s="16">
        <v>1</v>
      </c>
    </row>
    <row r="673" spans="1:4" ht="20" customHeight="1" x14ac:dyDescent="0.35">
      <c r="A673" s="13" t="s">
        <v>724</v>
      </c>
      <c r="B673" s="13" t="s">
        <v>723</v>
      </c>
      <c r="C673" s="13">
        <v>15</v>
      </c>
      <c r="D673" s="17">
        <v>3.72</v>
      </c>
    </row>
    <row r="674" spans="1:4" ht="20" customHeight="1" x14ac:dyDescent="0.35">
      <c r="A674" s="13" t="s">
        <v>725</v>
      </c>
      <c r="B674" s="13" t="s">
        <v>723</v>
      </c>
      <c r="C674" s="13">
        <v>15</v>
      </c>
      <c r="D674" s="17">
        <v>3.52</v>
      </c>
    </row>
    <row r="675" spans="1:4" ht="20" customHeight="1" x14ac:dyDescent="0.35">
      <c r="A675" s="18" t="s">
        <v>726</v>
      </c>
      <c r="B675" s="18" t="s">
        <v>723</v>
      </c>
      <c r="C675" s="18">
        <v>15</v>
      </c>
      <c r="D675" s="18">
        <v>3.4</v>
      </c>
    </row>
    <row r="676" spans="1:4" ht="20" customHeight="1" x14ac:dyDescent="0.35">
      <c r="A676" s="18" t="s">
        <v>727</v>
      </c>
      <c r="B676" s="18" t="s">
        <v>723</v>
      </c>
      <c r="C676" s="18">
        <v>12</v>
      </c>
      <c r="D676" s="18">
        <v>3.17</v>
      </c>
    </row>
    <row r="677" spans="1:4" ht="20" customHeight="1" x14ac:dyDescent="0.35">
      <c r="A677" s="18" t="s">
        <v>728</v>
      </c>
      <c r="B677" s="18" t="s">
        <v>723</v>
      </c>
      <c r="C677" s="18">
        <v>12</v>
      </c>
      <c r="D677" s="18">
        <v>3.05</v>
      </c>
    </row>
    <row r="678" spans="1:4" ht="20" customHeight="1" x14ac:dyDescent="0.35">
      <c r="A678" s="18" t="s">
        <v>729</v>
      </c>
      <c r="B678" s="18" t="s">
        <v>723</v>
      </c>
      <c r="C678" s="18">
        <v>12</v>
      </c>
      <c r="D678" s="18">
        <v>2.94</v>
      </c>
    </row>
    <row r="679" spans="1:4" ht="20" customHeight="1" x14ac:dyDescent="0.35">
      <c r="A679" s="18" t="s">
        <v>730</v>
      </c>
      <c r="B679" s="18" t="s">
        <v>723</v>
      </c>
      <c r="C679" s="18">
        <v>10</v>
      </c>
      <c r="D679" s="18">
        <v>3.03</v>
      </c>
    </row>
    <row r="680" spans="1:4" ht="20" customHeight="1" x14ac:dyDescent="0.35">
      <c r="A680" s="18" t="s">
        <v>731</v>
      </c>
      <c r="B680" s="18" t="s">
        <v>723</v>
      </c>
      <c r="C680" s="18">
        <v>10</v>
      </c>
      <c r="D680" s="18">
        <v>2.89</v>
      </c>
    </row>
    <row r="681" spans="1:4" ht="20" customHeight="1" x14ac:dyDescent="0.35">
      <c r="A681" s="18" t="s">
        <v>732</v>
      </c>
      <c r="B681" s="18" t="s">
        <v>723</v>
      </c>
      <c r="C681" s="18">
        <v>10</v>
      </c>
      <c r="D681" s="18">
        <v>2.74</v>
      </c>
    </row>
    <row r="682" spans="1:4" ht="20" customHeight="1" x14ac:dyDescent="0.35">
      <c r="A682" s="18" t="s">
        <v>733</v>
      </c>
      <c r="B682" s="18" t="s">
        <v>723</v>
      </c>
      <c r="C682" s="18">
        <v>10</v>
      </c>
      <c r="D682" s="18">
        <v>2.6</v>
      </c>
    </row>
    <row r="683" spans="1:4" ht="20" customHeight="1" x14ac:dyDescent="0.35">
      <c r="A683" s="18" t="s">
        <v>734</v>
      </c>
      <c r="B683" s="18" t="s">
        <v>723</v>
      </c>
      <c r="C683" s="18">
        <v>9</v>
      </c>
      <c r="D683" s="18">
        <v>2.65</v>
      </c>
    </row>
    <row r="684" spans="1:4" ht="20" customHeight="1" x14ac:dyDescent="0.35">
      <c r="A684" s="18" t="s">
        <v>735</v>
      </c>
      <c r="B684" s="18" t="s">
        <v>723</v>
      </c>
      <c r="C684" s="18">
        <v>9</v>
      </c>
      <c r="D684" s="18">
        <v>2.4900000000000002</v>
      </c>
    </row>
    <row r="685" spans="1:4" ht="20" customHeight="1" x14ac:dyDescent="0.35">
      <c r="A685" s="18" t="s">
        <v>736</v>
      </c>
      <c r="B685" s="18" t="s">
        <v>723</v>
      </c>
      <c r="C685" s="18">
        <v>9</v>
      </c>
      <c r="D685" s="18">
        <v>2.4300000000000002</v>
      </c>
    </row>
    <row r="686" spans="1:4" ht="20" customHeight="1" x14ac:dyDescent="0.35">
      <c r="A686" s="18" t="s">
        <v>737</v>
      </c>
      <c r="B686" s="18" t="s">
        <v>723</v>
      </c>
      <c r="C686" s="18">
        <v>8</v>
      </c>
      <c r="D686" s="18">
        <v>2.5299999999999998</v>
      </c>
    </row>
    <row r="687" spans="1:4" ht="20" customHeight="1" x14ac:dyDescent="0.35">
      <c r="A687" s="18" t="s">
        <v>738</v>
      </c>
      <c r="B687" s="18" t="s">
        <v>723</v>
      </c>
      <c r="C687" s="18">
        <v>8</v>
      </c>
      <c r="D687" s="18">
        <v>2.34</v>
      </c>
    </row>
    <row r="688" spans="1:4" ht="20" customHeight="1" x14ac:dyDescent="0.35">
      <c r="A688" s="18" t="s">
        <v>739</v>
      </c>
      <c r="B688" s="18" t="s">
        <v>723</v>
      </c>
      <c r="C688" s="18">
        <v>8</v>
      </c>
      <c r="D688" s="18">
        <v>2.2599999999999998</v>
      </c>
    </row>
    <row r="689" spans="1:4" ht="20" customHeight="1" x14ac:dyDescent="0.35">
      <c r="A689" s="18" t="s">
        <v>740</v>
      </c>
      <c r="B689" s="18" t="s">
        <v>723</v>
      </c>
      <c r="C689" s="18">
        <v>7</v>
      </c>
      <c r="D689" s="18">
        <v>2.2999999999999998</v>
      </c>
    </row>
    <row r="690" spans="1:4" ht="20" customHeight="1" x14ac:dyDescent="0.35">
      <c r="A690" s="18" t="s">
        <v>741</v>
      </c>
      <c r="B690" s="18" t="s">
        <v>723</v>
      </c>
      <c r="C690" s="18">
        <v>7</v>
      </c>
      <c r="D690" s="18">
        <v>2.19</v>
      </c>
    </row>
    <row r="691" spans="1:4" ht="20" customHeight="1" x14ac:dyDescent="0.35">
      <c r="A691" s="18" t="s">
        <v>742</v>
      </c>
      <c r="B691" s="18" t="s">
        <v>723</v>
      </c>
      <c r="C691" s="18">
        <v>7</v>
      </c>
      <c r="D691" s="18">
        <v>2.09</v>
      </c>
    </row>
    <row r="692" spans="1:4" ht="20" customHeight="1" x14ac:dyDescent="0.35">
      <c r="A692" s="18" t="s">
        <v>743</v>
      </c>
      <c r="B692" s="18" t="s">
        <v>723</v>
      </c>
      <c r="C692" s="18">
        <v>6</v>
      </c>
      <c r="D692" s="18">
        <v>2.16</v>
      </c>
    </row>
    <row r="693" spans="1:4" ht="20" customHeight="1" x14ac:dyDescent="0.35">
      <c r="A693" s="18" t="s">
        <v>744</v>
      </c>
      <c r="B693" s="18" t="s">
        <v>723</v>
      </c>
      <c r="C693" s="18">
        <v>6</v>
      </c>
      <c r="D693" s="18">
        <v>2.0299999999999998</v>
      </c>
    </row>
    <row r="694" spans="1:4" ht="20" customHeight="1" x14ac:dyDescent="0.35">
      <c r="A694" s="18" t="s">
        <v>745</v>
      </c>
      <c r="B694" s="18" t="s">
        <v>723</v>
      </c>
      <c r="C694" s="18">
        <v>6</v>
      </c>
      <c r="D694" s="18">
        <v>1.92</v>
      </c>
    </row>
    <row r="695" spans="1:4" ht="20" customHeight="1" x14ac:dyDescent="0.35">
      <c r="A695" s="18" t="s">
        <v>746</v>
      </c>
      <c r="B695" s="18" t="s">
        <v>723</v>
      </c>
      <c r="C695" s="18">
        <v>5</v>
      </c>
      <c r="D695" s="18">
        <v>1.89</v>
      </c>
    </row>
    <row r="696" spans="1:4" ht="20" customHeight="1" x14ac:dyDescent="0.35">
      <c r="A696" s="18" t="s">
        <v>747</v>
      </c>
      <c r="B696" s="18" t="s">
        <v>723</v>
      </c>
      <c r="C696" s="18">
        <v>5</v>
      </c>
      <c r="D696" s="18">
        <v>1.75</v>
      </c>
    </row>
    <row r="697" spans="1:4" ht="20" customHeight="1" x14ac:dyDescent="0.35">
      <c r="A697" s="18" t="s">
        <v>748</v>
      </c>
      <c r="B697" s="18" t="s">
        <v>723</v>
      </c>
      <c r="C697" s="18">
        <v>4</v>
      </c>
      <c r="D697" s="18">
        <v>1.72</v>
      </c>
    </row>
    <row r="698" spans="1:4" ht="20" customHeight="1" x14ac:dyDescent="0.35">
      <c r="A698" s="18" t="s">
        <v>749</v>
      </c>
      <c r="B698" s="18" t="s">
        <v>723</v>
      </c>
      <c r="C698" s="18">
        <v>4</v>
      </c>
      <c r="D698" s="18">
        <v>1.65</v>
      </c>
    </row>
    <row r="699" spans="1:4" ht="20" customHeight="1" x14ac:dyDescent="0.35">
      <c r="A699" s="18" t="s">
        <v>750</v>
      </c>
      <c r="B699" s="18" t="s">
        <v>723</v>
      </c>
      <c r="C699" s="18">
        <v>4</v>
      </c>
      <c r="D699" s="18">
        <v>1.58</v>
      </c>
    </row>
    <row r="700" spans="1:4" ht="20" customHeight="1" x14ac:dyDescent="0.35">
      <c r="A700" s="18" t="s">
        <v>751</v>
      </c>
      <c r="B700" s="18" t="s">
        <v>723</v>
      </c>
      <c r="C700" s="18">
        <v>4</v>
      </c>
      <c r="D700" s="18">
        <v>1.52</v>
      </c>
    </row>
    <row r="701" spans="1:4" ht="20" customHeight="1" x14ac:dyDescent="0.35">
      <c r="A701" s="18" t="s">
        <v>752</v>
      </c>
      <c r="B701" s="18" t="s">
        <v>723</v>
      </c>
      <c r="C701" s="18">
        <v>3</v>
      </c>
      <c r="D701" s="18">
        <v>1.6</v>
      </c>
    </row>
    <row r="702" spans="1:4" ht="20" customHeight="1" x14ac:dyDescent="0.35">
      <c r="A702" s="18" t="s">
        <v>753</v>
      </c>
      <c r="B702" s="18" t="s">
        <v>723</v>
      </c>
      <c r="C702" s="18">
        <v>3</v>
      </c>
      <c r="D702" s="18">
        <v>1.5</v>
      </c>
    </row>
    <row r="703" spans="1:4" ht="20" customHeight="1" x14ac:dyDescent="0.35">
      <c r="A703" s="18" t="s">
        <v>754</v>
      </c>
      <c r="B703" s="18" t="s">
        <v>723</v>
      </c>
      <c r="C703" s="18">
        <v>3</v>
      </c>
      <c r="D703" s="18">
        <v>1.41</v>
      </c>
    </row>
    <row r="704" spans="1:4" ht="20" customHeight="1" x14ac:dyDescent="0.35">
      <c r="A704" s="18" t="s">
        <v>755</v>
      </c>
      <c r="B704" s="18" t="s">
        <v>723</v>
      </c>
      <c r="C704" s="18">
        <v>3</v>
      </c>
      <c r="D704" s="18">
        <v>1.37</v>
      </c>
    </row>
    <row r="705" spans="1:4" ht="20" customHeight="1" x14ac:dyDescent="0.35">
      <c r="A705" s="1" t="s">
        <v>757</v>
      </c>
      <c r="B705" s="1" t="s">
        <v>756</v>
      </c>
      <c r="C705" s="1">
        <v>12</v>
      </c>
      <c r="D705" s="1">
        <v>12</v>
      </c>
    </row>
    <row r="706" spans="1:4" ht="20" customHeight="1" x14ac:dyDescent="0.35">
      <c r="A706" s="1" t="s">
        <v>758</v>
      </c>
      <c r="B706" s="1" t="s">
        <v>756</v>
      </c>
      <c r="C706" s="1">
        <v>12</v>
      </c>
      <c r="D706" s="1">
        <v>12</v>
      </c>
    </row>
    <row r="707" spans="1:4" ht="20" customHeight="1" x14ac:dyDescent="0.35">
      <c r="A707" s="1" t="s">
        <v>759</v>
      </c>
      <c r="B707" s="1" t="s">
        <v>756</v>
      </c>
      <c r="C707" s="1">
        <v>12</v>
      </c>
      <c r="D707" s="1">
        <v>12</v>
      </c>
    </row>
    <row r="708" spans="1:4" ht="20" customHeight="1" x14ac:dyDescent="0.35">
      <c r="A708" s="1" t="s">
        <v>760</v>
      </c>
      <c r="B708" s="1" t="s">
        <v>756</v>
      </c>
      <c r="C708" s="1">
        <v>12</v>
      </c>
      <c r="D708" s="1">
        <v>12</v>
      </c>
    </row>
    <row r="709" spans="1:4" ht="20" customHeight="1" x14ac:dyDescent="0.35">
      <c r="A709" s="1" t="s">
        <v>761</v>
      </c>
      <c r="B709" s="1" t="s">
        <v>756</v>
      </c>
      <c r="C709" s="1">
        <v>10</v>
      </c>
      <c r="D709" s="1">
        <v>10</v>
      </c>
    </row>
    <row r="710" spans="1:4" ht="20" customHeight="1" x14ac:dyDescent="0.35">
      <c r="A710" s="1" t="s">
        <v>762</v>
      </c>
      <c r="B710" s="1" t="s">
        <v>756</v>
      </c>
      <c r="C710" s="1">
        <v>10</v>
      </c>
      <c r="D710" s="1">
        <v>10</v>
      </c>
    </row>
    <row r="711" spans="1:4" ht="20" customHeight="1" x14ac:dyDescent="0.35">
      <c r="A711" s="1" t="s">
        <v>763</v>
      </c>
      <c r="B711" s="1" t="s">
        <v>756</v>
      </c>
      <c r="C711" s="1">
        <v>10</v>
      </c>
      <c r="D711" s="1">
        <v>10</v>
      </c>
    </row>
    <row r="712" spans="1:4" ht="20" customHeight="1" x14ac:dyDescent="0.35">
      <c r="A712" s="1" t="s">
        <v>764</v>
      </c>
      <c r="B712" s="1" t="s">
        <v>756</v>
      </c>
      <c r="C712" s="1">
        <v>10</v>
      </c>
      <c r="D712" s="1">
        <v>10</v>
      </c>
    </row>
    <row r="713" spans="1:4" ht="20" customHeight="1" x14ac:dyDescent="0.35">
      <c r="A713" s="1" t="s">
        <v>765</v>
      </c>
      <c r="B713" s="1" t="s">
        <v>756</v>
      </c>
      <c r="C713" s="1">
        <v>10</v>
      </c>
      <c r="D713" s="1">
        <v>10</v>
      </c>
    </row>
    <row r="714" spans="1:4" ht="20" customHeight="1" x14ac:dyDescent="0.35">
      <c r="A714" s="1" t="s">
        <v>766</v>
      </c>
      <c r="B714" s="1" t="s">
        <v>756</v>
      </c>
      <c r="C714" s="1">
        <v>10</v>
      </c>
      <c r="D714" s="1">
        <v>10</v>
      </c>
    </row>
    <row r="715" spans="1:4" ht="20" customHeight="1" x14ac:dyDescent="0.35">
      <c r="A715" s="1" t="s">
        <v>767</v>
      </c>
      <c r="B715" s="1" t="s">
        <v>756</v>
      </c>
      <c r="C715" s="1">
        <v>8</v>
      </c>
      <c r="D715" s="1">
        <v>8</v>
      </c>
    </row>
    <row r="716" spans="1:4" ht="20" customHeight="1" x14ac:dyDescent="0.35">
      <c r="A716" s="1" t="s">
        <v>768</v>
      </c>
      <c r="B716" s="1" t="s">
        <v>756</v>
      </c>
      <c r="C716" s="1">
        <v>8</v>
      </c>
      <c r="D716" s="1">
        <v>8</v>
      </c>
    </row>
    <row r="717" spans="1:4" ht="20" customHeight="1" x14ac:dyDescent="0.35">
      <c r="A717" s="1" t="s">
        <v>769</v>
      </c>
      <c r="B717" s="1" t="s">
        <v>756</v>
      </c>
      <c r="C717" s="1">
        <v>8</v>
      </c>
      <c r="D717" s="1">
        <v>8</v>
      </c>
    </row>
    <row r="718" spans="1:4" ht="20" customHeight="1" x14ac:dyDescent="0.35">
      <c r="A718" s="1" t="s">
        <v>770</v>
      </c>
      <c r="B718" s="1" t="s">
        <v>756</v>
      </c>
      <c r="C718" s="1">
        <v>8</v>
      </c>
      <c r="D718" s="1">
        <v>8</v>
      </c>
    </row>
    <row r="719" spans="1:4" ht="20" customHeight="1" x14ac:dyDescent="0.35">
      <c r="A719" s="1" t="s">
        <v>771</v>
      </c>
      <c r="B719" s="1" t="s">
        <v>756</v>
      </c>
      <c r="C719" s="1">
        <v>8</v>
      </c>
      <c r="D719" s="1">
        <v>8</v>
      </c>
    </row>
    <row r="720" spans="1:4" ht="20" customHeight="1" x14ac:dyDescent="0.35">
      <c r="A720" s="1" t="s">
        <v>772</v>
      </c>
      <c r="B720" s="1" t="s">
        <v>756</v>
      </c>
      <c r="C720" s="1">
        <v>8</v>
      </c>
      <c r="D720" s="1">
        <v>8</v>
      </c>
    </row>
    <row r="721" spans="1:4" ht="20" customHeight="1" x14ac:dyDescent="0.35">
      <c r="A721" s="1" t="s">
        <v>773</v>
      </c>
      <c r="B721" s="1" t="s">
        <v>756</v>
      </c>
      <c r="C721" s="1">
        <v>8</v>
      </c>
      <c r="D721" s="1">
        <v>8</v>
      </c>
    </row>
    <row r="722" spans="1:4" ht="20" customHeight="1" x14ac:dyDescent="0.35">
      <c r="A722" s="1" t="s">
        <v>774</v>
      </c>
      <c r="B722" s="1" t="s">
        <v>756</v>
      </c>
      <c r="C722" s="1">
        <v>6</v>
      </c>
      <c r="D722" s="1">
        <v>8</v>
      </c>
    </row>
    <row r="723" spans="1:4" ht="20" customHeight="1" x14ac:dyDescent="0.35">
      <c r="A723" s="1" t="s">
        <v>775</v>
      </c>
      <c r="B723" s="1" t="s">
        <v>756</v>
      </c>
      <c r="C723" s="1">
        <v>6</v>
      </c>
      <c r="D723" s="1">
        <v>8</v>
      </c>
    </row>
    <row r="724" spans="1:4" ht="20" customHeight="1" x14ac:dyDescent="0.35">
      <c r="A724" s="1" t="s">
        <v>776</v>
      </c>
      <c r="B724" s="1" t="s">
        <v>756</v>
      </c>
      <c r="C724" s="1">
        <v>6</v>
      </c>
      <c r="D724" s="1">
        <v>8</v>
      </c>
    </row>
    <row r="725" spans="1:4" ht="20" customHeight="1" x14ac:dyDescent="0.35">
      <c r="A725" s="1" t="s">
        <v>777</v>
      </c>
      <c r="B725" s="1" t="s">
        <v>756</v>
      </c>
      <c r="C725" s="1">
        <v>6</v>
      </c>
      <c r="D725" s="1">
        <v>8</v>
      </c>
    </row>
    <row r="726" spans="1:4" ht="20" customHeight="1" x14ac:dyDescent="0.35">
      <c r="A726" s="1" t="s">
        <v>778</v>
      </c>
      <c r="B726" s="1" t="s">
        <v>756</v>
      </c>
      <c r="C726" s="1">
        <v>6</v>
      </c>
      <c r="D726" s="1">
        <v>8</v>
      </c>
    </row>
    <row r="727" spans="1:4" ht="20" customHeight="1" x14ac:dyDescent="0.35">
      <c r="A727" s="1" t="s">
        <v>779</v>
      </c>
      <c r="B727" s="1" t="s">
        <v>756</v>
      </c>
      <c r="C727" s="1">
        <v>6</v>
      </c>
      <c r="D727" s="1">
        <v>8</v>
      </c>
    </row>
    <row r="728" spans="1:4" ht="20" customHeight="1" x14ac:dyDescent="0.35">
      <c r="A728" s="1" t="s">
        <v>780</v>
      </c>
      <c r="B728" s="1" t="s">
        <v>756</v>
      </c>
      <c r="C728" s="1">
        <v>6</v>
      </c>
      <c r="D728" s="1">
        <v>8</v>
      </c>
    </row>
    <row r="729" spans="1:4" ht="20" customHeight="1" x14ac:dyDescent="0.35">
      <c r="A729" s="1" t="s">
        <v>781</v>
      </c>
      <c r="B729" s="1" t="s">
        <v>756</v>
      </c>
      <c r="C729" s="1">
        <v>4</v>
      </c>
      <c r="D729" s="1">
        <v>8</v>
      </c>
    </row>
    <row r="730" spans="1:4" ht="20" customHeight="1" x14ac:dyDescent="0.35">
      <c r="A730" s="1" t="s">
        <v>782</v>
      </c>
      <c r="B730" s="1" t="s">
        <v>756</v>
      </c>
      <c r="C730" s="1">
        <v>4</v>
      </c>
      <c r="D730" s="1">
        <v>8</v>
      </c>
    </row>
    <row r="731" spans="1:4" ht="20" customHeight="1" x14ac:dyDescent="0.35">
      <c r="A731" s="1" t="s">
        <v>783</v>
      </c>
      <c r="B731" s="1" t="s">
        <v>756</v>
      </c>
      <c r="C731" s="1">
        <v>4</v>
      </c>
      <c r="D731" s="1">
        <v>8</v>
      </c>
    </row>
    <row r="732" spans="1:4" ht="20" customHeight="1" x14ac:dyDescent="0.35">
      <c r="A732" s="1" t="s">
        <v>784</v>
      </c>
      <c r="B732" s="1" t="s">
        <v>756</v>
      </c>
      <c r="C732" s="1">
        <v>4</v>
      </c>
      <c r="D732" s="1">
        <v>8</v>
      </c>
    </row>
    <row r="733" spans="1:4" ht="20" customHeight="1" x14ac:dyDescent="0.35">
      <c r="A733" s="1" t="s">
        <v>785</v>
      </c>
      <c r="B733" s="1" t="s">
        <v>756</v>
      </c>
      <c r="C733" s="1">
        <v>4</v>
      </c>
      <c r="D733" s="1">
        <v>8</v>
      </c>
    </row>
    <row r="734" spans="1:4" ht="20" customHeight="1" x14ac:dyDescent="0.35">
      <c r="A734" s="1" t="s">
        <v>786</v>
      </c>
      <c r="B734" s="1" t="s">
        <v>756</v>
      </c>
      <c r="C734" s="1">
        <v>4</v>
      </c>
      <c r="D734" s="1">
        <v>8</v>
      </c>
    </row>
    <row r="735" spans="1:4" ht="20" customHeight="1" x14ac:dyDescent="0.35">
      <c r="A735" s="1" t="s">
        <v>787</v>
      </c>
      <c r="B735" s="1" t="s">
        <v>756</v>
      </c>
      <c r="C735" s="1">
        <v>4</v>
      </c>
      <c r="D735" s="1">
        <v>8</v>
      </c>
    </row>
    <row r="736" spans="1:4" ht="20" customHeight="1" x14ac:dyDescent="0.35">
      <c r="A736" s="1" t="s">
        <v>788</v>
      </c>
      <c r="B736" s="1" t="s">
        <v>756</v>
      </c>
      <c r="C736" s="1">
        <v>4</v>
      </c>
      <c r="D736" s="1">
        <v>7</v>
      </c>
    </row>
    <row r="737" spans="1:4" ht="20" customHeight="1" x14ac:dyDescent="0.35">
      <c r="A737" s="1" t="s">
        <v>789</v>
      </c>
      <c r="B737" s="1" t="s">
        <v>756</v>
      </c>
      <c r="C737" s="1">
        <v>4</v>
      </c>
      <c r="D737" s="1">
        <v>7</v>
      </c>
    </row>
    <row r="738" spans="1:4" ht="20" customHeight="1" x14ac:dyDescent="0.35">
      <c r="A738" s="1" t="s">
        <v>790</v>
      </c>
      <c r="B738" s="1" t="s">
        <v>756</v>
      </c>
      <c r="C738" s="1">
        <v>4</v>
      </c>
      <c r="D738" s="1">
        <v>7</v>
      </c>
    </row>
    <row r="739" spans="1:4" ht="20" customHeight="1" x14ac:dyDescent="0.35">
      <c r="A739" s="1" t="s">
        <v>791</v>
      </c>
      <c r="B739" s="1" t="s">
        <v>756</v>
      </c>
      <c r="C739" s="1">
        <v>4</v>
      </c>
      <c r="D739" s="1">
        <v>7</v>
      </c>
    </row>
    <row r="740" spans="1:4" ht="20" customHeight="1" x14ac:dyDescent="0.35">
      <c r="A740" s="1" t="s">
        <v>792</v>
      </c>
      <c r="B740" s="1" t="s">
        <v>756</v>
      </c>
      <c r="C740" s="1">
        <v>4</v>
      </c>
      <c r="D740" s="1">
        <v>7</v>
      </c>
    </row>
    <row r="741" spans="1:4" ht="20" customHeight="1" x14ac:dyDescent="0.35">
      <c r="A741" s="1" t="s">
        <v>793</v>
      </c>
      <c r="B741" s="1" t="s">
        <v>756</v>
      </c>
      <c r="C741" s="1">
        <v>6</v>
      </c>
      <c r="D741" s="1">
        <v>6</v>
      </c>
    </row>
    <row r="742" spans="1:4" ht="20" customHeight="1" x14ac:dyDescent="0.35">
      <c r="A742" s="1" t="s">
        <v>794</v>
      </c>
      <c r="B742" s="1" t="s">
        <v>756</v>
      </c>
      <c r="C742" s="1">
        <v>6</v>
      </c>
      <c r="D742" s="1">
        <v>6</v>
      </c>
    </row>
    <row r="743" spans="1:4" ht="20" customHeight="1" x14ac:dyDescent="0.35">
      <c r="A743" s="1" t="s">
        <v>795</v>
      </c>
      <c r="B743" s="1" t="s">
        <v>756</v>
      </c>
      <c r="C743" s="1">
        <v>6</v>
      </c>
      <c r="D743" s="1">
        <v>6</v>
      </c>
    </row>
    <row r="744" spans="1:4" ht="20" customHeight="1" x14ac:dyDescent="0.35">
      <c r="A744" s="1" t="s">
        <v>796</v>
      </c>
      <c r="B744" s="1" t="s">
        <v>756</v>
      </c>
      <c r="C744" s="1">
        <v>6</v>
      </c>
      <c r="D744" s="1">
        <v>6</v>
      </c>
    </row>
    <row r="745" spans="1:4" ht="20" customHeight="1" x14ac:dyDescent="0.35">
      <c r="A745" s="1" t="s">
        <v>797</v>
      </c>
      <c r="B745" s="1" t="s">
        <v>756</v>
      </c>
      <c r="C745" s="1">
        <v>6</v>
      </c>
      <c r="D745" s="1">
        <v>6</v>
      </c>
    </row>
    <row r="746" spans="1:4" ht="20" customHeight="1" x14ac:dyDescent="0.35">
      <c r="A746" s="1" t="s">
        <v>798</v>
      </c>
      <c r="B746" s="1" t="s">
        <v>756</v>
      </c>
      <c r="C746" s="1">
        <v>6</v>
      </c>
      <c r="D746" s="1">
        <v>6</v>
      </c>
    </row>
    <row r="747" spans="1:4" ht="20" customHeight="1" x14ac:dyDescent="0.35">
      <c r="A747" s="1" t="s">
        <v>799</v>
      </c>
      <c r="B747" s="1" t="s">
        <v>756</v>
      </c>
      <c r="C747" s="1">
        <v>6</v>
      </c>
      <c r="D747" s="1">
        <v>6</v>
      </c>
    </row>
    <row r="748" spans="1:4" ht="20" customHeight="1" x14ac:dyDescent="0.35">
      <c r="A748" s="1" t="s">
        <v>800</v>
      </c>
      <c r="B748" s="1" t="s">
        <v>756</v>
      </c>
      <c r="C748" s="1">
        <v>6</v>
      </c>
      <c r="D748" s="1">
        <v>6</v>
      </c>
    </row>
    <row r="749" spans="1:4" ht="20" customHeight="1" x14ac:dyDescent="0.35">
      <c r="A749" s="1" t="s">
        <v>801</v>
      </c>
      <c r="B749" s="1" t="s">
        <v>756</v>
      </c>
      <c r="C749" s="1">
        <v>6</v>
      </c>
      <c r="D749" s="1">
        <v>6</v>
      </c>
    </row>
    <row r="750" spans="1:4" ht="20" customHeight="1" x14ac:dyDescent="0.35">
      <c r="A750" s="1" t="s">
        <v>802</v>
      </c>
      <c r="B750" s="1" t="s">
        <v>756</v>
      </c>
      <c r="C750" s="1">
        <v>4</v>
      </c>
      <c r="D750" s="1">
        <v>6</v>
      </c>
    </row>
    <row r="751" spans="1:4" ht="20" customHeight="1" x14ac:dyDescent="0.35">
      <c r="A751" s="1" t="s">
        <v>803</v>
      </c>
      <c r="B751" s="1" t="s">
        <v>756</v>
      </c>
      <c r="C751" s="1">
        <v>4</v>
      </c>
      <c r="D751" s="1">
        <v>6</v>
      </c>
    </row>
    <row r="752" spans="1:4" ht="20" customHeight="1" x14ac:dyDescent="0.35">
      <c r="A752" s="1" t="s">
        <v>804</v>
      </c>
      <c r="B752" s="1" t="s">
        <v>756</v>
      </c>
      <c r="C752" s="1">
        <v>4</v>
      </c>
      <c r="D752" s="1">
        <v>6</v>
      </c>
    </row>
    <row r="753" spans="1:4" ht="20" customHeight="1" x14ac:dyDescent="0.35">
      <c r="A753" s="1" t="s">
        <v>805</v>
      </c>
      <c r="B753" s="1" t="s">
        <v>756</v>
      </c>
      <c r="C753" s="1">
        <v>4</v>
      </c>
      <c r="D753" s="1">
        <v>6</v>
      </c>
    </row>
    <row r="754" spans="1:4" ht="20" customHeight="1" x14ac:dyDescent="0.35">
      <c r="A754" s="1" t="s">
        <v>806</v>
      </c>
      <c r="B754" s="1" t="s">
        <v>756</v>
      </c>
      <c r="C754" s="1">
        <v>4</v>
      </c>
      <c r="D754" s="1">
        <v>6</v>
      </c>
    </row>
    <row r="755" spans="1:4" ht="20" customHeight="1" x14ac:dyDescent="0.35">
      <c r="A755" s="1" t="s">
        <v>807</v>
      </c>
      <c r="B755" s="1" t="s">
        <v>756</v>
      </c>
      <c r="C755" s="1">
        <v>4</v>
      </c>
      <c r="D755" s="1">
        <v>6</v>
      </c>
    </row>
    <row r="756" spans="1:4" ht="20" customHeight="1" x14ac:dyDescent="0.35">
      <c r="A756" s="1" t="s">
        <v>808</v>
      </c>
      <c r="B756" s="1" t="s">
        <v>756</v>
      </c>
      <c r="C756" s="1">
        <v>4</v>
      </c>
      <c r="D756" s="1">
        <v>6</v>
      </c>
    </row>
    <row r="757" spans="1:4" ht="20" customHeight="1" x14ac:dyDescent="0.35">
      <c r="A757" s="1" t="s">
        <v>809</v>
      </c>
      <c r="B757" s="1" t="s">
        <v>756</v>
      </c>
      <c r="C757" s="1">
        <v>4</v>
      </c>
      <c r="D757" s="1">
        <v>6</v>
      </c>
    </row>
    <row r="758" spans="1:4" ht="20" customHeight="1" x14ac:dyDescent="0.35">
      <c r="A758" s="1" t="s">
        <v>810</v>
      </c>
      <c r="B758" s="1" t="s">
        <v>756</v>
      </c>
      <c r="C758" s="1">
        <v>3.5</v>
      </c>
      <c r="D758" s="1">
        <v>6</v>
      </c>
    </row>
    <row r="759" spans="1:4" ht="20" customHeight="1" x14ac:dyDescent="0.35">
      <c r="A759" s="1" t="s">
        <v>811</v>
      </c>
      <c r="B759" s="1" t="s">
        <v>756</v>
      </c>
      <c r="C759" s="1">
        <v>3.5</v>
      </c>
      <c r="D759" s="1">
        <v>6</v>
      </c>
    </row>
    <row r="760" spans="1:4" ht="20" customHeight="1" x14ac:dyDescent="0.35">
      <c r="A760" s="1" t="s">
        <v>812</v>
      </c>
      <c r="B760" s="1" t="s">
        <v>756</v>
      </c>
      <c r="C760" s="1">
        <v>3.5</v>
      </c>
      <c r="D760" s="1">
        <v>6</v>
      </c>
    </row>
    <row r="761" spans="1:4" ht="20" customHeight="1" x14ac:dyDescent="0.35">
      <c r="A761" s="1" t="s">
        <v>813</v>
      </c>
      <c r="B761" s="1" t="s">
        <v>756</v>
      </c>
      <c r="C761" s="1">
        <v>5</v>
      </c>
      <c r="D761" s="1">
        <v>5</v>
      </c>
    </row>
    <row r="762" spans="1:4" ht="20" customHeight="1" x14ac:dyDescent="0.35">
      <c r="A762" s="1" t="s">
        <v>814</v>
      </c>
      <c r="B762" s="1" t="s">
        <v>756</v>
      </c>
      <c r="C762" s="1">
        <v>5</v>
      </c>
      <c r="D762" s="1">
        <v>5</v>
      </c>
    </row>
    <row r="763" spans="1:4" ht="20" customHeight="1" x14ac:dyDescent="0.35">
      <c r="A763" s="1" t="s">
        <v>815</v>
      </c>
      <c r="B763" s="1" t="s">
        <v>756</v>
      </c>
      <c r="C763" s="1">
        <v>5</v>
      </c>
      <c r="D763" s="1">
        <v>5</v>
      </c>
    </row>
    <row r="764" spans="1:4" ht="20" customHeight="1" x14ac:dyDescent="0.35">
      <c r="A764" s="1" t="s">
        <v>816</v>
      </c>
      <c r="B764" s="1" t="s">
        <v>756</v>
      </c>
      <c r="C764" s="1">
        <v>5</v>
      </c>
      <c r="D764" s="1">
        <v>5</v>
      </c>
    </row>
    <row r="765" spans="1:4" ht="20" customHeight="1" x14ac:dyDescent="0.35">
      <c r="A765" s="1" t="s">
        <v>817</v>
      </c>
      <c r="B765" s="1" t="s">
        <v>756</v>
      </c>
      <c r="C765" s="1">
        <v>5</v>
      </c>
      <c r="D765" s="1">
        <v>5</v>
      </c>
    </row>
    <row r="766" spans="1:4" ht="20" customHeight="1" x14ac:dyDescent="0.35">
      <c r="A766" s="1" t="s">
        <v>818</v>
      </c>
      <c r="B766" s="1" t="s">
        <v>756</v>
      </c>
      <c r="C766" s="1">
        <v>5</v>
      </c>
      <c r="D766" s="1">
        <v>5</v>
      </c>
    </row>
    <row r="767" spans="1:4" ht="20" customHeight="1" x14ac:dyDescent="0.35">
      <c r="A767" s="1" t="s">
        <v>819</v>
      </c>
      <c r="B767" s="1" t="s">
        <v>756</v>
      </c>
      <c r="C767" s="1">
        <v>5</v>
      </c>
      <c r="D767" s="1">
        <v>5</v>
      </c>
    </row>
    <row r="768" spans="1:4" ht="20" customHeight="1" x14ac:dyDescent="0.35">
      <c r="A768" s="1" t="s">
        <v>820</v>
      </c>
      <c r="B768" s="1" t="s">
        <v>756</v>
      </c>
      <c r="C768" s="1">
        <v>3.5</v>
      </c>
      <c r="D768" s="1">
        <v>5</v>
      </c>
    </row>
    <row r="769" spans="1:4" ht="20" customHeight="1" x14ac:dyDescent="0.35">
      <c r="A769" s="1" t="s">
        <v>821</v>
      </c>
      <c r="B769" s="1" t="s">
        <v>756</v>
      </c>
      <c r="C769" s="1">
        <v>3.5</v>
      </c>
      <c r="D769" s="1">
        <v>5</v>
      </c>
    </row>
    <row r="770" spans="1:4" ht="20" customHeight="1" x14ac:dyDescent="0.35">
      <c r="A770" s="1" t="s">
        <v>822</v>
      </c>
      <c r="B770" s="1" t="s">
        <v>756</v>
      </c>
      <c r="C770" s="1">
        <v>3.5</v>
      </c>
      <c r="D770" s="1">
        <v>5</v>
      </c>
    </row>
    <row r="771" spans="1:4" ht="20" customHeight="1" x14ac:dyDescent="0.35">
      <c r="A771" s="1" t="s">
        <v>823</v>
      </c>
      <c r="B771" s="1" t="s">
        <v>756</v>
      </c>
      <c r="C771" s="1">
        <v>3.5</v>
      </c>
      <c r="D771" s="1">
        <v>5</v>
      </c>
    </row>
    <row r="772" spans="1:4" ht="20" customHeight="1" x14ac:dyDescent="0.35">
      <c r="A772" s="1" t="s">
        <v>824</v>
      </c>
      <c r="B772" s="1" t="s">
        <v>756</v>
      </c>
      <c r="C772" s="1">
        <v>3.5</v>
      </c>
      <c r="D772" s="1">
        <v>5</v>
      </c>
    </row>
    <row r="773" spans="1:4" ht="20" customHeight="1" x14ac:dyDescent="0.35">
      <c r="A773" s="1" t="s">
        <v>825</v>
      </c>
      <c r="B773" s="1" t="s">
        <v>756</v>
      </c>
      <c r="C773" s="1">
        <v>3.5</v>
      </c>
      <c r="D773" s="1">
        <v>5</v>
      </c>
    </row>
    <row r="774" spans="1:4" ht="20" customHeight="1" x14ac:dyDescent="0.35">
      <c r="A774" s="1" t="s">
        <v>826</v>
      </c>
      <c r="B774" s="1" t="s">
        <v>756</v>
      </c>
      <c r="C774" s="1">
        <v>3</v>
      </c>
      <c r="D774" s="1">
        <v>5</v>
      </c>
    </row>
    <row r="775" spans="1:4" ht="20" customHeight="1" x14ac:dyDescent="0.35">
      <c r="A775" s="1" t="s">
        <v>827</v>
      </c>
      <c r="B775" s="1" t="s">
        <v>756</v>
      </c>
      <c r="C775" s="1">
        <v>3</v>
      </c>
      <c r="D775" s="1">
        <v>5</v>
      </c>
    </row>
    <row r="776" spans="1:4" ht="20" customHeight="1" x14ac:dyDescent="0.35">
      <c r="A776" s="1" t="s">
        <v>828</v>
      </c>
      <c r="B776" s="1" t="s">
        <v>756</v>
      </c>
      <c r="C776" s="1">
        <v>3</v>
      </c>
      <c r="D776" s="1">
        <v>5</v>
      </c>
    </row>
    <row r="777" spans="1:4" ht="20" customHeight="1" x14ac:dyDescent="0.35">
      <c r="A777" s="1" t="s">
        <v>829</v>
      </c>
      <c r="B777" s="1" t="s">
        <v>756</v>
      </c>
      <c r="C777" s="1">
        <v>3</v>
      </c>
      <c r="D777" s="1">
        <v>5</v>
      </c>
    </row>
    <row r="778" spans="1:4" ht="20" customHeight="1" x14ac:dyDescent="0.35">
      <c r="A778" s="1" t="s">
        <v>830</v>
      </c>
      <c r="B778" s="1" t="s">
        <v>756</v>
      </c>
      <c r="C778" s="1">
        <v>3</v>
      </c>
      <c r="D778" s="1">
        <v>5</v>
      </c>
    </row>
    <row r="779" spans="1:4" ht="20" customHeight="1" x14ac:dyDescent="0.35">
      <c r="A779" s="1" t="s">
        <v>831</v>
      </c>
      <c r="B779" s="1" t="s">
        <v>756</v>
      </c>
      <c r="C779" s="1">
        <v>4</v>
      </c>
      <c r="D779" s="1">
        <v>4</v>
      </c>
    </row>
    <row r="780" spans="1:4" ht="20" customHeight="1" x14ac:dyDescent="0.35">
      <c r="A780" s="1" t="s">
        <v>832</v>
      </c>
      <c r="B780" s="1" t="s">
        <v>756</v>
      </c>
      <c r="C780" s="1">
        <v>4</v>
      </c>
      <c r="D780" s="1">
        <v>4</v>
      </c>
    </row>
    <row r="781" spans="1:4" ht="20" customHeight="1" x14ac:dyDescent="0.35">
      <c r="A781" s="1" t="s">
        <v>833</v>
      </c>
      <c r="B781" s="1" t="s">
        <v>756</v>
      </c>
      <c r="C781" s="1">
        <v>4</v>
      </c>
      <c r="D781" s="1">
        <v>4</v>
      </c>
    </row>
    <row r="782" spans="1:4" ht="20" customHeight="1" x14ac:dyDescent="0.35">
      <c r="A782" s="1" t="s">
        <v>834</v>
      </c>
      <c r="B782" s="1" t="s">
        <v>756</v>
      </c>
      <c r="C782" s="1">
        <v>4</v>
      </c>
      <c r="D782" s="1">
        <v>4</v>
      </c>
    </row>
    <row r="783" spans="1:4" ht="20" customHeight="1" x14ac:dyDescent="0.35">
      <c r="A783" s="1" t="s">
        <v>835</v>
      </c>
      <c r="B783" s="1" t="s">
        <v>756</v>
      </c>
      <c r="C783" s="1">
        <v>4</v>
      </c>
      <c r="D783" s="1">
        <v>4</v>
      </c>
    </row>
    <row r="784" spans="1:4" ht="20" customHeight="1" x14ac:dyDescent="0.35">
      <c r="A784" s="1" t="s">
        <v>836</v>
      </c>
      <c r="B784" s="1" t="s">
        <v>756</v>
      </c>
      <c r="C784" s="1">
        <v>4</v>
      </c>
      <c r="D784" s="1">
        <v>4</v>
      </c>
    </row>
    <row r="785" spans="1:4" ht="20" customHeight="1" x14ac:dyDescent="0.35">
      <c r="A785" s="1" t="s">
        <v>837</v>
      </c>
      <c r="B785" s="1" t="s">
        <v>756</v>
      </c>
      <c r="C785" s="1">
        <v>4</v>
      </c>
      <c r="D785" s="1">
        <v>4</v>
      </c>
    </row>
    <row r="786" spans="1:4" ht="20" customHeight="1" x14ac:dyDescent="0.35">
      <c r="A786" s="1" t="s">
        <v>838</v>
      </c>
      <c r="B786" s="1" t="s">
        <v>756</v>
      </c>
      <c r="C786" s="1">
        <v>3.5</v>
      </c>
      <c r="D786" s="1">
        <v>4</v>
      </c>
    </row>
    <row r="787" spans="1:4" ht="20" customHeight="1" x14ac:dyDescent="0.35">
      <c r="A787" s="1" t="s">
        <v>839</v>
      </c>
      <c r="B787" s="1" t="s">
        <v>756</v>
      </c>
      <c r="C787" s="1">
        <v>3.5</v>
      </c>
      <c r="D787" s="1">
        <v>4</v>
      </c>
    </row>
    <row r="788" spans="1:4" ht="20" customHeight="1" x14ac:dyDescent="0.35">
      <c r="A788" s="1" t="s">
        <v>840</v>
      </c>
      <c r="B788" s="1" t="s">
        <v>756</v>
      </c>
      <c r="C788" s="1">
        <v>3.5</v>
      </c>
      <c r="D788" s="1">
        <v>4</v>
      </c>
    </row>
    <row r="789" spans="1:4" ht="20" customHeight="1" x14ac:dyDescent="0.35">
      <c r="A789" s="1" t="s">
        <v>841</v>
      </c>
      <c r="B789" s="1" t="s">
        <v>756</v>
      </c>
      <c r="C789" s="1">
        <v>3.5</v>
      </c>
      <c r="D789" s="1">
        <v>4</v>
      </c>
    </row>
    <row r="790" spans="1:4" ht="20" customHeight="1" x14ac:dyDescent="0.35">
      <c r="A790" s="1" t="s">
        <v>842</v>
      </c>
      <c r="B790" s="1" t="s">
        <v>756</v>
      </c>
      <c r="C790" s="1">
        <v>3</v>
      </c>
      <c r="D790" s="1">
        <v>4</v>
      </c>
    </row>
    <row r="791" spans="1:4" ht="20" customHeight="1" x14ac:dyDescent="0.35">
      <c r="A791" s="1" t="s">
        <v>843</v>
      </c>
      <c r="B791" s="1" t="s">
        <v>756</v>
      </c>
      <c r="C791" s="1">
        <v>3</v>
      </c>
      <c r="D791" s="1">
        <v>4</v>
      </c>
    </row>
    <row r="792" spans="1:4" ht="20" customHeight="1" x14ac:dyDescent="0.35">
      <c r="A792" s="1" t="s">
        <v>844</v>
      </c>
      <c r="B792" s="1" t="s">
        <v>756</v>
      </c>
      <c r="C792" s="1">
        <v>3</v>
      </c>
      <c r="D792" s="1">
        <v>4</v>
      </c>
    </row>
    <row r="793" spans="1:4" ht="20" customHeight="1" x14ac:dyDescent="0.35">
      <c r="A793" s="1" t="s">
        <v>845</v>
      </c>
      <c r="B793" s="1" t="s">
        <v>756</v>
      </c>
      <c r="C793" s="1">
        <v>3</v>
      </c>
      <c r="D793" s="1">
        <v>4</v>
      </c>
    </row>
    <row r="794" spans="1:4" ht="20" customHeight="1" x14ac:dyDescent="0.35">
      <c r="A794" s="1" t="s">
        <v>846</v>
      </c>
      <c r="B794" s="1" t="s">
        <v>756</v>
      </c>
      <c r="C794" s="1">
        <v>3</v>
      </c>
      <c r="D794" s="1">
        <v>4</v>
      </c>
    </row>
    <row r="795" spans="1:4" ht="20" customHeight="1" x14ac:dyDescent="0.35">
      <c r="A795" s="1" t="s">
        <v>847</v>
      </c>
      <c r="B795" s="1" t="s">
        <v>756</v>
      </c>
      <c r="C795" s="1">
        <v>3.5</v>
      </c>
      <c r="D795" s="1">
        <v>3.5</v>
      </c>
    </row>
    <row r="796" spans="1:4" ht="20" customHeight="1" x14ac:dyDescent="0.35">
      <c r="A796" s="1" t="s">
        <v>848</v>
      </c>
      <c r="B796" s="1" t="s">
        <v>756</v>
      </c>
      <c r="C796" s="1">
        <v>3.5</v>
      </c>
      <c r="D796" s="1">
        <v>3.5</v>
      </c>
    </row>
    <row r="797" spans="1:4" ht="20" customHeight="1" x14ac:dyDescent="0.35">
      <c r="A797" s="1" t="s">
        <v>849</v>
      </c>
      <c r="B797" s="1" t="s">
        <v>756</v>
      </c>
      <c r="C797" s="1">
        <v>3.5</v>
      </c>
      <c r="D797" s="1">
        <v>3.5</v>
      </c>
    </row>
    <row r="798" spans="1:4" ht="20" customHeight="1" x14ac:dyDescent="0.35">
      <c r="A798" s="1" t="s">
        <v>850</v>
      </c>
      <c r="B798" s="1" t="s">
        <v>756</v>
      </c>
      <c r="C798" s="1">
        <v>3.5</v>
      </c>
      <c r="D798" s="1">
        <v>3.5</v>
      </c>
    </row>
    <row r="799" spans="1:4" ht="20" customHeight="1" x14ac:dyDescent="0.35">
      <c r="A799" s="1" t="s">
        <v>851</v>
      </c>
      <c r="B799" s="1" t="s">
        <v>756</v>
      </c>
      <c r="C799" s="1">
        <v>3.5</v>
      </c>
      <c r="D799" s="1">
        <v>3.5</v>
      </c>
    </row>
    <row r="800" spans="1:4" ht="20" customHeight="1" x14ac:dyDescent="0.35">
      <c r="A800" s="1" t="s">
        <v>852</v>
      </c>
      <c r="B800" s="1" t="s">
        <v>756</v>
      </c>
      <c r="C800" s="1">
        <v>3</v>
      </c>
      <c r="D800" s="1">
        <v>3.5</v>
      </c>
    </row>
    <row r="801" spans="1:4" ht="20" customHeight="1" x14ac:dyDescent="0.35">
      <c r="A801" s="1" t="s">
        <v>853</v>
      </c>
      <c r="B801" s="1" t="s">
        <v>756</v>
      </c>
      <c r="C801" s="1">
        <v>3</v>
      </c>
      <c r="D801" s="1">
        <v>3.5</v>
      </c>
    </row>
    <row r="802" spans="1:4" ht="20" customHeight="1" x14ac:dyDescent="0.35">
      <c r="A802" s="1" t="s">
        <v>854</v>
      </c>
      <c r="B802" s="1" t="s">
        <v>756</v>
      </c>
      <c r="C802" s="1">
        <v>3</v>
      </c>
      <c r="D802" s="1">
        <v>3.5</v>
      </c>
    </row>
    <row r="803" spans="1:4" ht="20" customHeight="1" x14ac:dyDescent="0.35">
      <c r="A803" s="1" t="s">
        <v>855</v>
      </c>
      <c r="B803" s="1" t="s">
        <v>756</v>
      </c>
      <c r="C803" s="1">
        <v>3</v>
      </c>
      <c r="D803" s="1">
        <v>3.5</v>
      </c>
    </row>
    <row r="804" spans="1:4" ht="20" customHeight="1" x14ac:dyDescent="0.35">
      <c r="A804" s="1" t="s">
        <v>856</v>
      </c>
      <c r="B804" s="1" t="s">
        <v>756</v>
      </c>
      <c r="C804" s="1">
        <v>3</v>
      </c>
      <c r="D804" s="1">
        <v>3.5</v>
      </c>
    </row>
    <row r="805" spans="1:4" ht="20" customHeight="1" x14ac:dyDescent="0.35">
      <c r="A805" s="1" t="s">
        <v>857</v>
      </c>
      <c r="B805" s="1" t="s">
        <v>756</v>
      </c>
      <c r="C805" s="1">
        <v>2.5</v>
      </c>
      <c r="D805" s="1">
        <v>3.5</v>
      </c>
    </row>
    <row r="806" spans="1:4" ht="20" customHeight="1" x14ac:dyDescent="0.35">
      <c r="A806" s="1" t="s">
        <v>858</v>
      </c>
      <c r="B806" s="1" t="s">
        <v>756</v>
      </c>
      <c r="C806" s="1">
        <v>2.5</v>
      </c>
      <c r="D806" s="1">
        <v>3.5</v>
      </c>
    </row>
    <row r="807" spans="1:4" ht="20" customHeight="1" x14ac:dyDescent="0.35">
      <c r="A807" s="1" t="s">
        <v>859</v>
      </c>
      <c r="B807" s="1" t="s">
        <v>756</v>
      </c>
      <c r="C807" s="1">
        <v>2.5</v>
      </c>
      <c r="D807" s="1">
        <v>3.5</v>
      </c>
    </row>
    <row r="808" spans="1:4" ht="20" customHeight="1" x14ac:dyDescent="0.35">
      <c r="A808" s="1" t="s">
        <v>860</v>
      </c>
      <c r="B808" s="1" t="s">
        <v>756</v>
      </c>
      <c r="C808" s="1">
        <v>2.5</v>
      </c>
      <c r="D808" s="1">
        <v>3.5</v>
      </c>
    </row>
    <row r="809" spans="1:4" ht="20" customHeight="1" x14ac:dyDescent="0.35">
      <c r="A809" s="1" t="s">
        <v>861</v>
      </c>
      <c r="B809" s="1" t="s">
        <v>756</v>
      </c>
      <c r="C809" s="1">
        <v>3</v>
      </c>
      <c r="D809" s="1">
        <v>3</v>
      </c>
    </row>
    <row r="810" spans="1:4" ht="20" customHeight="1" x14ac:dyDescent="0.35">
      <c r="A810" s="1" t="s">
        <v>862</v>
      </c>
      <c r="B810" s="1" t="s">
        <v>756</v>
      </c>
      <c r="C810" s="1">
        <v>3</v>
      </c>
      <c r="D810" s="1">
        <v>3</v>
      </c>
    </row>
    <row r="811" spans="1:4" ht="20" customHeight="1" x14ac:dyDescent="0.35">
      <c r="A811" s="1" t="s">
        <v>863</v>
      </c>
      <c r="B811" s="1" t="s">
        <v>756</v>
      </c>
      <c r="C811" s="1">
        <v>3</v>
      </c>
      <c r="D811" s="1">
        <v>3</v>
      </c>
    </row>
    <row r="812" spans="1:4" ht="20" customHeight="1" x14ac:dyDescent="0.35">
      <c r="A812" s="1" t="s">
        <v>864</v>
      </c>
      <c r="B812" s="1" t="s">
        <v>756</v>
      </c>
      <c r="C812" s="1">
        <v>3</v>
      </c>
      <c r="D812" s="1">
        <v>3</v>
      </c>
    </row>
    <row r="813" spans="1:4" ht="20" customHeight="1" x14ac:dyDescent="0.35">
      <c r="A813" s="1" t="s">
        <v>865</v>
      </c>
      <c r="B813" s="1" t="s">
        <v>756</v>
      </c>
      <c r="C813" s="1">
        <v>3</v>
      </c>
      <c r="D813" s="1">
        <v>3</v>
      </c>
    </row>
    <row r="814" spans="1:4" ht="20" customHeight="1" x14ac:dyDescent="0.35">
      <c r="A814" s="1" t="s">
        <v>866</v>
      </c>
      <c r="B814" s="1" t="s">
        <v>756</v>
      </c>
      <c r="C814" s="1">
        <v>3</v>
      </c>
      <c r="D814" s="1">
        <v>3</v>
      </c>
    </row>
    <row r="815" spans="1:4" ht="20" customHeight="1" x14ac:dyDescent="0.35">
      <c r="A815" s="1" t="s">
        <v>867</v>
      </c>
      <c r="B815" s="1" t="s">
        <v>756</v>
      </c>
      <c r="C815" s="1">
        <v>2.5</v>
      </c>
      <c r="D815" s="1">
        <v>3</v>
      </c>
    </row>
    <row r="816" spans="1:4" ht="20" customHeight="1" x14ac:dyDescent="0.35">
      <c r="A816" s="1" t="s">
        <v>868</v>
      </c>
      <c r="B816" s="1" t="s">
        <v>756</v>
      </c>
      <c r="C816" s="1">
        <v>2.5</v>
      </c>
      <c r="D816" s="1">
        <v>3</v>
      </c>
    </row>
    <row r="817" spans="1:4" ht="20" customHeight="1" x14ac:dyDescent="0.35">
      <c r="A817" s="1" t="s">
        <v>869</v>
      </c>
      <c r="B817" s="1" t="s">
        <v>756</v>
      </c>
      <c r="C817" s="1">
        <v>2.5</v>
      </c>
      <c r="D817" s="1">
        <v>3</v>
      </c>
    </row>
    <row r="818" spans="1:4" ht="20" customHeight="1" x14ac:dyDescent="0.35">
      <c r="A818" s="1" t="s">
        <v>870</v>
      </c>
      <c r="B818" s="1" t="s">
        <v>756</v>
      </c>
      <c r="C818" s="1">
        <v>2.5</v>
      </c>
      <c r="D818" s="1">
        <v>3</v>
      </c>
    </row>
    <row r="819" spans="1:4" ht="20" customHeight="1" x14ac:dyDescent="0.35">
      <c r="A819" s="1" t="s">
        <v>871</v>
      </c>
      <c r="B819" s="1" t="s">
        <v>756</v>
      </c>
      <c r="C819" s="1">
        <v>2.5</v>
      </c>
      <c r="D819" s="1">
        <v>3</v>
      </c>
    </row>
    <row r="820" spans="1:4" ht="20" customHeight="1" x14ac:dyDescent="0.35">
      <c r="A820" s="1" t="s">
        <v>872</v>
      </c>
      <c r="B820" s="1" t="s">
        <v>756</v>
      </c>
      <c r="C820" s="1">
        <v>2.5</v>
      </c>
      <c r="D820" s="1">
        <v>3</v>
      </c>
    </row>
    <row r="821" spans="1:4" ht="20" customHeight="1" x14ac:dyDescent="0.35">
      <c r="A821" s="1" t="s">
        <v>873</v>
      </c>
      <c r="B821" s="1" t="s">
        <v>756</v>
      </c>
      <c r="C821" s="1">
        <v>2</v>
      </c>
      <c r="D821" s="1">
        <v>3</v>
      </c>
    </row>
    <row r="822" spans="1:4" ht="20" customHeight="1" x14ac:dyDescent="0.35">
      <c r="A822" s="1" t="s">
        <v>874</v>
      </c>
      <c r="B822" s="1" t="s">
        <v>756</v>
      </c>
      <c r="C822" s="1">
        <v>2</v>
      </c>
      <c r="D822" s="1">
        <v>3</v>
      </c>
    </row>
    <row r="823" spans="1:4" ht="20" customHeight="1" x14ac:dyDescent="0.35">
      <c r="A823" s="1" t="s">
        <v>875</v>
      </c>
      <c r="B823" s="1" t="s">
        <v>756</v>
      </c>
      <c r="C823" s="1">
        <v>2</v>
      </c>
      <c r="D823" s="1">
        <v>3</v>
      </c>
    </row>
    <row r="824" spans="1:4" ht="20" customHeight="1" x14ac:dyDescent="0.35">
      <c r="A824" s="1" t="s">
        <v>876</v>
      </c>
      <c r="B824" s="1" t="s">
        <v>756</v>
      </c>
      <c r="C824" s="1">
        <v>2</v>
      </c>
      <c r="D824" s="1">
        <v>3</v>
      </c>
    </row>
    <row r="825" spans="1:4" ht="20" customHeight="1" x14ac:dyDescent="0.35">
      <c r="A825" s="1" t="s">
        <v>877</v>
      </c>
      <c r="B825" s="1" t="s">
        <v>756</v>
      </c>
      <c r="C825" s="1">
        <v>2</v>
      </c>
      <c r="D825" s="1">
        <v>3</v>
      </c>
    </row>
    <row r="826" spans="1:4" ht="20" customHeight="1" x14ac:dyDescent="0.35">
      <c r="A826" s="1" t="s">
        <v>878</v>
      </c>
      <c r="B826" s="1" t="s">
        <v>756</v>
      </c>
      <c r="C826" s="1">
        <v>2.5</v>
      </c>
      <c r="D826" s="1">
        <v>2.5</v>
      </c>
    </row>
    <row r="827" spans="1:4" ht="20" customHeight="1" x14ac:dyDescent="0.35">
      <c r="A827" s="1" t="s">
        <v>879</v>
      </c>
      <c r="B827" s="1" t="s">
        <v>756</v>
      </c>
      <c r="C827" s="1">
        <v>2.5</v>
      </c>
      <c r="D827" s="1">
        <v>2.5</v>
      </c>
    </row>
    <row r="828" spans="1:4" ht="20" customHeight="1" x14ac:dyDescent="0.35">
      <c r="A828" s="1" t="s">
        <v>880</v>
      </c>
      <c r="B828" s="1" t="s">
        <v>756</v>
      </c>
      <c r="C828" s="1">
        <v>2.5</v>
      </c>
      <c r="D828" s="1">
        <v>2.5</v>
      </c>
    </row>
    <row r="829" spans="1:4" ht="20" customHeight="1" x14ac:dyDescent="0.35">
      <c r="A829" s="1" t="s">
        <v>881</v>
      </c>
      <c r="B829" s="1" t="s">
        <v>756</v>
      </c>
      <c r="C829" s="1">
        <v>2.5</v>
      </c>
      <c r="D829" s="1">
        <v>2.5</v>
      </c>
    </row>
    <row r="830" spans="1:4" ht="20" customHeight="1" x14ac:dyDescent="0.35">
      <c r="A830" s="1" t="s">
        <v>882</v>
      </c>
      <c r="B830" s="1" t="s">
        <v>756</v>
      </c>
      <c r="C830" s="1">
        <v>2.5</v>
      </c>
      <c r="D830" s="1">
        <v>2.5</v>
      </c>
    </row>
    <row r="831" spans="1:4" ht="20" customHeight="1" x14ac:dyDescent="0.35">
      <c r="A831" s="1" t="s">
        <v>883</v>
      </c>
      <c r="B831" s="1" t="s">
        <v>756</v>
      </c>
      <c r="C831" s="1">
        <v>2</v>
      </c>
      <c r="D831" s="1">
        <v>2.5</v>
      </c>
    </row>
    <row r="832" spans="1:4" ht="20" customHeight="1" x14ac:dyDescent="0.35">
      <c r="A832" s="1" t="s">
        <v>884</v>
      </c>
      <c r="B832" s="1" t="s">
        <v>756</v>
      </c>
      <c r="C832" s="1">
        <v>2</v>
      </c>
      <c r="D832" s="1">
        <v>2.5</v>
      </c>
    </row>
    <row r="833" spans="1:4" ht="20" customHeight="1" x14ac:dyDescent="0.35">
      <c r="A833" s="1" t="s">
        <v>885</v>
      </c>
      <c r="B833" s="1" t="s">
        <v>756</v>
      </c>
      <c r="C833" s="1">
        <v>2</v>
      </c>
      <c r="D833" s="1">
        <v>2.5</v>
      </c>
    </row>
    <row r="834" spans="1:4" ht="20" customHeight="1" x14ac:dyDescent="0.35">
      <c r="A834" s="1" t="s">
        <v>886</v>
      </c>
      <c r="B834" s="1" t="s">
        <v>756</v>
      </c>
      <c r="C834" s="1">
        <v>2</v>
      </c>
      <c r="D834" s="1">
        <v>2.5</v>
      </c>
    </row>
    <row r="835" spans="1:4" ht="20" customHeight="1" x14ac:dyDescent="0.35">
      <c r="A835" s="1" t="s">
        <v>887</v>
      </c>
      <c r="B835" s="1" t="s">
        <v>756</v>
      </c>
      <c r="C835" s="1">
        <v>1.5</v>
      </c>
      <c r="D835" s="1">
        <v>2.5</v>
      </c>
    </row>
    <row r="836" spans="1:4" ht="20" customHeight="1" x14ac:dyDescent="0.35">
      <c r="A836" s="1" t="s">
        <v>888</v>
      </c>
      <c r="B836" s="1" t="s">
        <v>756</v>
      </c>
      <c r="C836" s="1">
        <v>1.5</v>
      </c>
      <c r="D836" s="1">
        <v>2.5</v>
      </c>
    </row>
    <row r="837" spans="1:4" ht="20" customHeight="1" x14ac:dyDescent="0.35">
      <c r="A837" s="1" t="s">
        <v>889</v>
      </c>
      <c r="B837" s="1" t="s">
        <v>756</v>
      </c>
      <c r="C837" s="1">
        <v>2</v>
      </c>
      <c r="D837" s="1">
        <v>2</v>
      </c>
    </row>
    <row r="838" spans="1:4" ht="20" customHeight="1" x14ac:dyDescent="0.35">
      <c r="A838" s="1" t="s">
        <v>890</v>
      </c>
      <c r="B838" s="1" t="s">
        <v>756</v>
      </c>
      <c r="C838" s="1">
        <v>2</v>
      </c>
      <c r="D838" s="1">
        <v>2</v>
      </c>
    </row>
    <row r="839" spans="1:4" ht="20" customHeight="1" x14ac:dyDescent="0.35">
      <c r="A839" s="1" t="s">
        <v>891</v>
      </c>
      <c r="B839" s="1" t="s">
        <v>756</v>
      </c>
      <c r="C839" s="1">
        <v>2</v>
      </c>
      <c r="D839" s="1">
        <v>2</v>
      </c>
    </row>
    <row r="840" spans="1:4" ht="20" customHeight="1" x14ac:dyDescent="0.35">
      <c r="A840" s="1" t="s">
        <v>892</v>
      </c>
      <c r="B840" s="1" t="s">
        <v>756</v>
      </c>
      <c r="C840" s="1">
        <v>2</v>
      </c>
      <c r="D840" s="1">
        <v>2</v>
      </c>
    </row>
    <row r="841" spans="1:4" ht="20" customHeight="1" x14ac:dyDescent="0.35">
      <c r="A841" s="1" t="s">
        <v>893</v>
      </c>
      <c r="B841" s="1" t="s">
        <v>756</v>
      </c>
      <c r="C841" s="1">
        <v>2</v>
      </c>
      <c r="D841" s="1">
        <v>2</v>
      </c>
    </row>
    <row r="842" spans="1:4" ht="20" customHeight="1" x14ac:dyDescent="0.35">
      <c r="A842" s="1" t="s">
        <v>895</v>
      </c>
      <c r="B842" s="1" t="s">
        <v>894</v>
      </c>
      <c r="C842" s="1">
        <v>24.5</v>
      </c>
      <c r="D842" s="1">
        <v>8.0500000000000007</v>
      </c>
    </row>
    <row r="843" spans="1:4" ht="20" customHeight="1" x14ac:dyDescent="0.35">
      <c r="A843" s="1" t="s">
        <v>896</v>
      </c>
      <c r="B843" s="1" t="s">
        <v>894</v>
      </c>
      <c r="C843" s="1">
        <v>24.5</v>
      </c>
      <c r="D843" s="1">
        <v>7.87</v>
      </c>
    </row>
    <row r="844" spans="1:4" ht="20" customHeight="1" x14ac:dyDescent="0.35">
      <c r="A844" s="1" t="s">
        <v>897</v>
      </c>
      <c r="B844" s="1" t="s">
        <v>894</v>
      </c>
      <c r="C844" s="1">
        <v>24</v>
      </c>
      <c r="D844" s="1">
        <v>7.25</v>
      </c>
    </row>
    <row r="845" spans="1:4" ht="20" customHeight="1" x14ac:dyDescent="0.35">
      <c r="A845" s="1" t="s">
        <v>898</v>
      </c>
      <c r="B845" s="1" t="s">
        <v>894</v>
      </c>
      <c r="C845" s="1">
        <v>24</v>
      </c>
      <c r="D845" s="1">
        <v>7.13</v>
      </c>
    </row>
    <row r="846" spans="1:4" ht="20" customHeight="1" x14ac:dyDescent="0.35">
      <c r="A846" s="1" t="s">
        <v>899</v>
      </c>
      <c r="B846" s="1" t="s">
        <v>894</v>
      </c>
      <c r="C846" s="1">
        <v>24</v>
      </c>
      <c r="D846" s="1">
        <v>7</v>
      </c>
    </row>
    <row r="847" spans="1:4" ht="20" customHeight="1" x14ac:dyDescent="0.35">
      <c r="A847" s="1" t="s">
        <v>900</v>
      </c>
      <c r="B847" s="1" t="s">
        <v>894</v>
      </c>
      <c r="C847" s="1">
        <v>20.3</v>
      </c>
      <c r="D847" s="1">
        <v>7.2</v>
      </c>
    </row>
    <row r="848" spans="1:4" ht="20" customHeight="1" x14ac:dyDescent="0.35">
      <c r="A848" s="1" t="s">
        <v>901</v>
      </c>
      <c r="B848" s="1" t="s">
        <v>894</v>
      </c>
      <c r="C848" s="1">
        <v>20.3</v>
      </c>
      <c r="D848" s="1">
        <v>7.06</v>
      </c>
    </row>
    <row r="849" spans="1:4" ht="20" customHeight="1" x14ac:dyDescent="0.35">
      <c r="A849" s="1" t="s">
        <v>902</v>
      </c>
      <c r="B849" s="1" t="s">
        <v>894</v>
      </c>
      <c r="C849" s="1">
        <v>20</v>
      </c>
      <c r="D849" s="1">
        <v>6.39</v>
      </c>
    </row>
    <row r="850" spans="1:4" ht="20" customHeight="1" x14ac:dyDescent="0.35">
      <c r="A850" s="1" t="s">
        <v>903</v>
      </c>
      <c r="B850" s="1" t="s">
        <v>894</v>
      </c>
      <c r="C850" s="1">
        <v>20</v>
      </c>
      <c r="D850" s="1">
        <v>6.26</v>
      </c>
    </row>
    <row r="851" spans="1:4" ht="20" customHeight="1" x14ac:dyDescent="0.35">
      <c r="A851" s="1" t="s">
        <v>904</v>
      </c>
      <c r="B851" s="1" t="s">
        <v>894</v>
      </c>
      <c r="C851" s="1">
        <v>18</v>
      </c>
      <c r="D851" s="1">
        <v>6.25</v>
      </c>
    </row>
    <row r="852" spans="1:4" ht="20" customHeight="1" x14ac:dyDescent="0.35">
      <c r="A852" s="1" t="s">
        <v>905</v>
      </c>
      <c r="B852" s="1" t="s">
        <v>894</v>
      </c>
      <c r="C852" s="1">
        <v>18</v>
      </c>
      <c r="D852" s="1">
        <v>6</v>
      </c>
    </row>
    <row r="853" spans="1:4" ht="20" customHeight="1" x14ac:dyDescent="0.35">
      <c r="A853" s="1" t="s">
        <v>906</v>
      </c>
      <c r="B853" s="1" t="s">
        <v>894</v>
      </c>
      <c r="C853" s="1">
        <v>15</v>
      </c>
      <c r="D853" s="1">
        <v>5.64</v>
      </c>
    </row>
    <row r="854" spans="1:4" ht="20" customHeight="1" x14ac:dyDescent="0.35">
      <c r="A854" s="1" t="s">
        <v>907</v>
      </c>
      <c r="B854" s="1" t="s">
        <v>894</v>
      </c>
      <c r="C854" s="1">
        <v>15</v>
      </c>
      <c r="D854" s="1">
        <v>5.5</v>
      </c>
    </row>
    <row r="855" spans="1:4" ht="20" customHeight="1" x14ac:dyDescent="0.35">
      <c r="A855" s="1" t="s">
        <v>908</v>
      </c>
      <c r="B855" s="1" t="s">
        <v>894</v>
      </c>
      <c r="C855" s="1">
        <v>12</v>
      </c>
      <c r="D855" s="1">
        <v>5.48</v>
      </c>
    </row>
    <row r="856" spans="1:4" ht="20" customHeight="1" x14ac:dyDescent="0.35">
      <c r="A856" s="1" t="s">
        <v>909</v>
      </c>
      <c r="B856" s="1" t="s">
        <v>894</v>
      </c>
      <c r="C856" s="1">
        <v>12</v>
      </c>
      <c r="D856" s="1">
        <v>5.25</v>
      </c>
    </row>
    <row r="857" spans="1:4" ht="20" customHeight="1" x14ac:dyDescent="0.35">
      <c r="A857" s="1" t="s">
        <v>910</v>
      </c>
      <c r="B857" s="1" t="s">
        <v>894</v>
      </c>
      <c r="C857" s="1">
        <v>12</v>
      </c>
      <c r="D857" s="1">
        <v>5.08</v>
      </c>
    </row>
    <row r="858" spans="1:4" ht="20" customHeight="1" x14ac:dyDescent="0.35">
      <c r="A858" s="1" t="s">
        <v>911</v>
      </c>
      <c r="B858" s="1" t="s">
        <v>894</v>
      </c>
      <c r="C858" s="1">
        <v>12</v>
      </c>
      <c r="D858" s="1">
        <v>5</v>
      </c>
    </row>
    <row r="859" spans="1:4" ht="20" customHeight="1" x14ac:dyDescent="0.35">
      <c r="A859" s="1" t="s">
        <v>912</v>
      </c>
      <c r="B859" s="1" t="s">
        <v>894</v>
      </c>
      <c r="C859" s="1">
        <v>10</v>
      </c>
      <c r="D859" s="1">
        <v>4.9400000000000004</v>
      </c>
    </row>
    <row r="860" spans="1:4" ht="20" customHeight="1" x14ac:dyDescent="0.35">
      <c r="A860" s="1" t="s">
        <v>913</v>
      </c>
      <c r="B860" s="1" t="s">
        <v>894</v>
      </c>
      <c r="C860" s="1">
        <v>10</v>
      </c>
      <c r="D860" s="1">
        <v>4.66</v>
      </c>
    </row>
    <row r="861" spans="1:4" ht="20" customHeight="1" x14ac:dyDescent="0.35">
      <c r="A861" s="1" t="s">
        <v>914</v>
      </c>
      <c r="B861" s="1" t="s">
        <v>894</v>
      </c>
      <c r="C861" s="1">
        <v>8</v>
      </c>
      <c r="D861" s="1">
        <v>4.17</v>
      </c>
    </row>
    <row r="862" spans="1:4" ht="20" customHeight="1" x14ac:dyDescent="0.35">
      <c r="A862" s="1" t="s">
        <v>915</v>
      </c>
      <c r="B862" s="1" t="s">
        <v>894</v>
      </c>
      <c r="C862" s="1">
        <v>8</v>
      </c>
      <c r="D862" s="1">
        <v>4</v>
      </c>
    </row>
    <row r="863" spans="1:4" ht="20" customHeight="1" x14ac:dyDescent="0.35">
      <c r="A863" s="1" t="s">
        <v>916</v>
      </c>
      <c r="B863" s="1" t="s">
        <v>894</v>
      </c>
      <c r="C863" s="1">
        <v>6</v>
      </c>
      <c r="D863" s="1">
        <v>3.57</v>
      </c>
    </row>
    <row r="864" spans="1:4" ht="20" customHeight="1" x14ac:dyDescent="0.35">
      <c r="A864" s="1" t="s">
        <v>917</v>
      </c>
      <c r="B864" s="1" t="s">
        <v>894</v>
      </c>
      <c r="C864" s="1">
        <v>6</v>
      </c>
      <c r="D864" s="1">
        <v>3.33</v>
      </c>
    </row>
    <row r="865" spans="1:4" ht="20" customHeight="1" x14ac:dyDescent="0.35">
      <c r="A865" s="1" t="s">
        <v>918</v>
      </c>
      <c r="B865" s="1" t="s">
        <v>894</v>
      </c>
      <c r="C865" s="1">
        <v>5</v>
      </c>
      <c r="D865" s="1">
        <v>3</v>
      </c>
    </row>
    <row r="866" spans="1:4" ht="20" customHeight="1" x14ac:dyDescent="0.35">
      <c r="A866" s="1" t="s">
        <v>919</v>
      </c>
      <c r="B866" s="1" t="s">
        <v>894</v>
      </c>
      <c r="C866" s="1">
        <v>4</v>
      </c>
      <c r="D866" s="1">
        <v>2.8</v>
      </c>
    </row>
    <row r="867" spans="1:4" ht="20" customHeight="1" x14ac:dyDescent="0.35">
      <c r="A867" s="1" t="s">
        <v>920</v>
      </c>
      <c r="B867" s="1" t="s">
        <v>894</v>
      </c>
      <c r="C867" s="1">
        <v>4</v>
      </c>
      <c r="D867" s="1">
        <v>2.66</v>
      </c>
    </row>
    <row r="868" spans="1:4" ht="20" customHeight="1" x14ac:dyDescent="0.35">
      <c r="A868" s="1" t="s">
        <v>921</v>
      </c>
      <c r="B868" s="1" t="s">
        <v>894</v>
      </c>
      <c r="C868" s="1">
        <v>3</v>
      </c>
      <c r="D868" s="1">
        <v>2.5099999999999998</v>
      </c>
    </row>
    <row r="869" spans="1:4" ht="20" customHeight="1" x14ac:dyDescent="0.35">
      <c r="A869" s="1" t="s">
        <v>922</v>
      </c>
      <c r="B869" s="1" t="s">
        <v>894</v>
      </c>
      <c r="C869" s="1">
        <v>3</v>
      </c>
      <c r="D869" s="1">
        <v>2.33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7FB7-C28D-4ADB-8A9A-5CBB0F67718A}">
  <sheetPr codeName="Sheet3"/>
  <dimension ref="A1:B7"/>
  <sheetViews>
    <sheetView workbookViewId="0">
      <selection activeCell="B7" sqref="B7"/>
    </sheetView>
  </sheetViews>
  <sheetFormatPr defaultRowHeight="14.5" x14ac:dyDescent="0.35"/>
  <cols>
    <col min="1" max="1" width="13.08984375" customWidth="1"/>
  </cols>
  <sheetData>
    <row r="1" spans="1:2" x14ac:dyDescent="0.35">
      <c r="A1" t="s">
        <v>6</v>
      </c>
      <c r="B1" t="s">
        <v>5</v>
      </c>
    </row>
    <row r="3" spans="1:2" x14ac:dyDescent="0.35">
      <c r="A3" t="s">
        <v>926</v>
      </c>
    </row>
    <row r="4" spans="1:2" x14ac:dyDescent="0.35">
      <c r="A4" t="s">
        <v>47</v>
      </c>
      <c r="B4">
        <v>20</v>
      </c>
    </row>
    <row r="5" spans="1:2" x14ac:dyDescent="0.35">
      <c r="A5" t="s">
        <v>335</v>
      </c>
      <c r="B5">
        <v>20</v>
      </c>
    </row>
    <row r="6" spans="1:2" x14ac:dyDescent="0.35">
      <c r="A6" t="s">
        <v>756</v>
      </c>
      <c r="B6">
        <v>20</v>
      </c>
    </row>
    <row r="7" spans="1:2" x14ac:dyDescent="0.35">
      <c r="A7" t="s">
        <v>723</v>
      </c>
      <c r="B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Parts</vt:lpstr>
      <vt:lpstr>Stock</vt:lpstr>
      <vt:lpstr>AISC Member Table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Allen</dc:creator>
  <cp:lastModifiedBy>Tim Allen</cp:lastModifiedBy>
  <dcterms:created xsi:type="dcterms:W3CDTF">2026-01-29T15:37:19Z</dcterms:created>
  <dcterms:modified xsi:type="dcterms:W3CDTF">2026-02-04T21:26:12Z</dcterms:modified>
</cp:coreProperties>
</file>